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OPS\Assets Team\PRODUCTION\SLIL\Monthly Asset Reports\DFM\2025\12 - December\02. FX Rates\"/>
    </mc:Choice>
  </mc:AlternateContent>
  <xr:revisionPtr revIDLastSave="0" documentId="13_ncr:1_{53E9D32D-C6C1-49DD-86DD-27F806B8D6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tes" sheetId="1" r:id="rId1"/>
    <sheet name="Process Notes" sheetId="2" r:id="rId2"/>
  </sheets>
  <definedNames>
    <definedName name="_xlnm._FilterDatabase" localSheetId="0" hidden="1">Rates!$A$35:$L$127</definedName>
    <definedName name="rng_FX_rates">Rates!$D$4:$D$22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26" i="1"/>
  <c r="D7" i="1"/>
  <c r="D32" i="1" l="1"/>
  <c r="D33" i="1"/>
  <c r="D31" i="1"/>
  <c r="D30" i="1"/>
  <c r="D29" i="1"/>
  <c r="D28" i="1"/>
  <c r="D27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6" i="1"/>
</calcChain>
</file>

<file path=xl/sharedStrings.xml><?xml version="1.0" encoding="utf-8"?>
<sst xmlns="http://schemas.openxmlformats.org/spreadsheetml/2006/main" count="225" uniqueCount="166">
  <si>
    <t>EUR</t>
  </si>
  <si>
    <t>USD</t>
  </si>
  <si>
    <t>CHF</t>
  </si>
  <si>
    <t>DKK</t>
  </si>
  <si>
    <t>GBP</t>
  </si>
  <si>
    <t>JPY</t>
  </si>
  <si>
    <t>CAD</t>
  </si>
  <si>
    <t>HKD</t>
  </si>
  <si>
    <t>INR</t>
  </si>
  <si>
    <t>UYU</t>
  </si>
  <si>
    <t>CNY</t>
  </si>
  <si>
    <t>AUD</t>
  </si>
  <si>
    <t>SGD</t>
  </si>
  <si>
    <t>AED</t>
  </si>
  <si>
    <t>TWD</t>
  </si>
  <si>
    <t>SEK</t>
  </si>
  <si>
    <t>NOK</t>
  </si>
  <si>
    <t>NZD</t>
  </si>
  <si>
    <t>MXN</t>
  </si>
  <si>
    <t>Currency (To)</t>
  </si>
  <si>
    <t>Rate</t>
  </si>
  <si>
    <t>BRL</t>
  </si>
  <si>
    <t>KRW</t>
  </si>
  <si>
    <t>MYR</t>
  </si>
  <si>
    <t>THB</t>
  </si>
  <si>
    <t>HUF</t>
  </si>
  <si>
    <t>CNH</t>
  </si>
  <si>
    <t>CZK</t>
  </si>
  <si>
    <t>IDR</t>
  </si>
  <si>
    <t>ZAR</t>
  </si>
  <si>
    <t>NKK</t>
  </si>
  <si>
    <t>S.06.02 FX Rates</t>
  </si>
  <si>
    <t>Exchange Rate</t>
  </si>
  <si>
    <t>CDF</t>
  </si>
  <si>
    <t>NKK &amp; NOK ARE BOTH NORWEGIAN KRONE</t>
  </si>
  <si>
    <t>https://www.exchangerates.org.uk/</t>
  </si>
  <si>
    <t>DOP</t>
  </si>
  <si>
    <t>BOB</t>
  </si>
  <si>
    <t>QAR</t>
  </si>
  <si>
    <t>SBD</t>
  </si>
  <si>
    <t>CRC</t>
  </si>
  <si>
    <t>GEL</t>
  </si>
  <si>
    <t>VND</t>
  </si>
  <si>
    <t>XOF</t>
  </si>
  <si>
    <t>KZT</t>
  </si>
  <si>
    <t>TOP</t>
  </si>
  <si>
    <t>CLP</t>
  </si>
  <si>
    <t>FIM</t>
  </si>
  <si>
    <t>IEP</t>
  </si>
  <si>
    <t>SRD</t>
  </si>
  <si>
    <t>CYP</t>
  </si>
  <si>
    <t>SIT</t>
  </si>
  <si>
    <t>EGP</t>
  </si>
  <si>
    <t>RSD</t>
  </si>
  <si>
    <t>KWD</t>
  </si>
  <si>
    <t>SKK</t>
  </si>
  <si>
    <t>TTD</t>
  </si>
  <si>
    <t>XPF</t>
  </si>
  <si>
    <t>XCD</t>
  </si>
  <si>
    <t>BAM</t>
  </si>
  <si>
    <t>XDR</t>
  </si>
  <si>
    <t>BHD</t>
  </si>
  <si>
    <t>MDL</t>
  </si>
  <si>
    <t>NGN</t>
  </si>
  <si>
    <t>OMR</t>
  </si>
  <si>
    <t>TND</t>
  </si>
  <si>
    <t>MAD</t>
  </si>
  <si>
    <t>XEU</t>
  </si>
  <si>
    <t>PTE</t>
  </si>
  <si>
    <t>DEM</t>
  </si>
  <si>
    <t>RUB</t>
  </si>
  <si>
    <t>PYG</t>
  </si>
  <si>
    <t>TOF</t>
  </si>
  <si>
    <t>FJD</t>
  </si>
  <si>
    <t>AOA</t>
  </si>
  <si>
    <t>ECS</t>
  </si>
  <si>
    <t>HRK</t>
  </si>
  <si>
    <t>BBD</t>
  </si>
  <si>
    <t>ALL</t>
  </si>
  <si>
    <t>MNT</t>
  </si>
  <si>
    <t>KYD</t>
  </si>
  <si>
    <t>RON</t>
  </si>
  <si>
    <t>GHS</t>
  </si>
  <si>
    <t>BZD</t>
  </si>
  <si>
    <t>UGX</t>
  </si>
  <si>
    <t>PHP</t>
  </si>
  <si>
    <t>BIF</t>
  </si>
  <si>
    <t>TRY</t>
  </si>
  <si>
    <t>KGS</t>
  </si>
  <si>
    <t>LKR</t>
  </si>
  <si>
    <t>VES</t>
  </si>
  <si>
    <t>VUV</t>
  </si>
  <si>
    <t>CUP</t>
  </si>
  <si>
    <t>PKR</t>
  </si>
  <si>
    <t>HTG</t>
  </si>
  <si>
    <t>GRD</t>
  </si>
  <si>
    <t>EEK</t>
  </si>
  <si>
    <t>ARS</t>
  </si>
  <si>
    <t>MVR</t>
  </si>
  <si>
    <t>BSD</t>
  </si>
  <si>
    <t>LSL</t>
  </si>
  <si>
    <t>TZS</t>
  </si>
  <si>
    <t>BWP</t>
  </si>
  <si>
    <t>AZN</t>
  </si>
  <si>
    <t>LVL</t>
  </si>
  <si>
    <t>RWF</t>
  </si>
  <si>
    <t>SZL</t>
  </si>
  <si>
    <t>BEF</t>
  </si>
  <si>
    <t>KES</t>
  </si>
  <si>
    <t>BTN</t>
  </si>
  <si>
    <t>ITL</t>
  </si>
  <si>
    <t>KMF</t>
  </si>
  <si>
    <t>ATS</t>
  </si>
  <si>
    <t>YER</t>
  </si>
  <si>
    <t>HNL</t>
  </si>
  <si>
    <t>MGA</t>
  </si>
  <si>
    <t>MZN</t>
  </si>
  <si>
    <t>BYN</t>
  </si>
  <si>
    <t>COP</t>
  </si>
  <si>
    <t>AWG</t>
  </si>
  <si>
    <t>MTL</t>
  </si>
  <si>
    <t>NLG</t>
  </si>
  <si>
    <t>ILS</t>
  </si>
  <si>
    <t>SAR</t>
  </si>
  <si>
    <t>PAB</t>
  </si>
  <si>
    <t>BND</t>
  </si>
  <si>
    <t>ETB</t>
  </si>
  <si>
    <t>JOD</t>
  </si>
  <si>
    <t>NAD</t>
  </si>
  <si>
    <t>ESP</t>
  </si>
  <si>
    <t>NPR</t>
  </si>
  <si>
    <t>SCR</t>
  </si>
  <si>
    <t>LBP</t>
  </si>
  <si>
    <t>BMD</t>
  </si>
  <si>
    <t>DZD</t>
  </si>
  <si>
    <t>LUF</t>
  </si>
  <si>
    <t>FRF</t>
  </si>
  <si>
    <t>BGN</t>
  </si>
  <si>
    <t>MOP</t>
  </si>
  <si>
    <t>UAH</t>
  </si>
  <si>
    <t>MRU</t>
  </si>
  <si>
    <t>NIO</t>
  </si>
  <si>
    <t>PLN</t>
  </si>
  <si>
    <t>JMD</t>
  </si>
  <si>
    <t>UZS</t>
  </si>
  <si>
    <t>MKD</t>
  </si>
  <si>
    <t>MWK</t>
  </si>
  <si>
    <t>GNF</t>
  </si>
  <si>
    <t>PEN</t>
  </si>
  <si>
    <t>ISK</t>
  </si>
  <si>
    <t>WST</t>
  </si>
  <si>
    <t>BDT</t>
  </si>
  <si>
    <t>GTQ</t>
  </si>
  <si>
    <t>PGK</t>
  </si>
  <si>
    <t>GMD</t>
  </si>
  <si>
    <t>MUR</t>
  </si>
  <si>
    <t>SVC</t>
  </si>
  <si>
    <t>LTL</t>
  </si>
  <si>
    <t>QOF</t>
  </si>
  <si>
    <t>Summary</t>
  </si>
  <si>
    <t>1. Roll forward prior months file</t>
  </si>
  <si>
    <t>2. Run a Cognos report called: S.06.02 FX Rates</t>
  </si>
  <si>
    <t>3. Paste it to Rates tab</t>
  </si>
  <si>
    <t>Currency</t>
  </si>
  <si>
    <r>
      <rPr>
        <sz val="10"/>
        <color theme="1"/>
        <rFont val="Tahoma"/>
        <family val="2"/>
      </rPr>
      <t xml:space="preserve"> -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- </t>
    </r>
  </si>
  <si>
    <r>
      <rPr>
        <sz val="8"/>
        <color theme="1"/>
        <rFont val="Tahoma"/>
        <family val="2"/>
      </rPr>
      <t>Day: Between 30 Dec 2025 0:00 and 30 Dec 2025 23:59</t>
    </r>
    <r>
      <rPr>
        <sz val="8"/>
        <color theme="1"/>
        <rFont val="Tahoma"/>
        <family val="2"/>
      </rPr>
      <t xml:space="preserve"> AND </t>
    </r>
    <r>
      <rPr>
        <sz val="8"/>
        <color theme="1"/>
        <rFont val="Tahoma"/>
        <family val="2"/>
      </rPr>
      <t>From: GBP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</si>
</sst>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00_-;\-* #,##0.0000_-;_-* &quot;-&quot;??_-;_-@_-"/>
    <numFmt numFmtId="165" formatCode="0.00000"/>
    <numFmt numFmtId="166" formatCode="#,##0.000000000000"/>
    <numFmt numFmtId="167" formatCode="#,##0.########"/>
    <numFmt numFmtId="168" formatCode="d\ mmm\ 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entury Gothic"/>
      <family val="2"/>
    </font>
    <font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color rgb="FF222222"/>
      <name val="Arial"/>
      <family val="2"/>
    </font>
    <font>
      <b/>
      <sz val="11"/>
      <name val="Calibri"/>
      <family val="2"/>
      <scheme val="minor"/>
    </font>
    <font>
      <b/>
      <u/>
      <sz val="14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i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BFD2E2"/>
      </patternFill>
    </fill>
    <fill>
      <patternFill patternType="solid">
        <fgColor rgb="FFDFDFD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6" fillId="3" borderId="2" applyNumberFormat="0" applyAlignment="0" applyProtection="0"/>
    <xf numFmtId="0" fontId="12" fillId="0" borderId="0"/>
  </cellStyleXfs>
  <cellXfs count="32">
    <xf numFmtId="0" fontId="0" fillId="0" borderId="0" xfId="0"/>
    <xf numFmtId="0" fontId="0" fillId="2" borderId="0" xfId="0" applyFill="1"/>
    <xf numFmtId="14" fontId="7" fillId="0" borderId="3" xfId="0" applyNumberFormat="1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166" fontId="7" fillId="0" borderId="3" xfId="0" applyNumberFormat="1" applyFont="1" applyBorder="1" applyAlignment="1">
      <alignment horizontal="right" vertical="top"/>
    </xf>
    <xf numFmtId="0" fontId="8" fillId="3" borderId="2" xfId="4" applyFont="1"/>
    <xf numFmtId="14" fontId="0" fillId="2" borderId="0" xfId="0" applyNumberFormat="1" applyFill="1"/>
    <xf numFmtId="0" fontId="3" fillId="2" borderId="0" xfId="2" applyFill="1" applyBorder="1" applyAlignment="1">
      <alignment horizontal="left" vertical="center" wrapText="1"/>
    </xf>
    <xf numFmtId="11" fontId="3" fillId="2" borderId="0" xfId="2" applyNumberFormat="1" applyFill="1" applyBorder="1" applyAlignment="1">
      <alignment horizontal="left" vertical="center" wrapText="1"/>
    </xf>
    <xf numFmtId="0" fontId="13" fillId="2" borderId="0" xfId="2" applyFont="1" applyFill="1" applyBorder="1" applyAlignment="1">
      <alignment horizontal="left" vertical="center"/>
    </xf>
    <xf numFmtId="0" fontId="2" fillId="6" borderId="1" xfId="0" applyFont="1" applyFill="1" applyBorder="1"/>
    <xf numFmtId="0" fontId="0" fillId="6" borderId="1" xfId="0" applyFill="1" applyBorder="1"/>
    <xf numFmtId="164" fontId="5" fillId="6" borderId="1" xfId="1" applyNumberFormat="1" applyFont="1" applyFill="1" applyBorder="1"/>
    <xf numFmtId="165" fontId="5" fillId="6" borderId="2" xfId="4" quotePrefix="1" applyNumberFormat="1" applyFont="1" applyFill="1" applyAlignment="1">
      <alignment horizontal="center" wrapText="1"/>
    </xf>
    <xf numFmtId="0" fontId="3" fillId="6" borderId="0" xfId="2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center" vertical="top"/>
    </xf>
    <xf numFmtId="0" fontId="0" fillId="0" borderId="0" xfId="0"/>
    <xf numFmtId="0" fontId="0" fillId="0" borderId="0" xfId="0"/>
    <xf numFmtId="0" fontId="3" fillId="2" borderId="6" xfId="2" applyFill="1" applyBorder="1" applyAlignment="1">
      <alignment horizontal="center" vertical="center" wrapText="1"/>
    </xf>
    <xf numFmtId="0" fontId="3" fillId="2" borderId="7" xfId="2" applyFill="1" applyBorder="1" applyAlignment="1">
      <alignment horizontal="center" vertical="center" wrapText="1"/>
    </xf>
    <xf numFmtId="0" fontId="9" fillId="0" borderId="0" xfId="5" applyFont="1" applyAlignment="1">
      <alignment horizontal="center" vertical="top"/>
    </xf>
    <xf numFmtId="0" fontId="12" fillId="0" borderId="0" xfId="5"/>
    <xf numFmtId="0" fontId="10" fillId="0" borderId="0" xfId="5" applyFont="1" applyBorder="1" applyAlignment="1">
      <alignment vertical="top" indent="2"/>
    </xf>
    <xf numFmtId="0" fontId="10" fillId="0" borderId="5" xfId="5" applyFont="1" applyBorder="1" applyAlignment="1">
      <alignment horizontal="left" vertical="top"/>
    </xf>
    <xf numFmtId="167" fontId="10" fillId="0" borderId="5" xfId="5" applyNumberFormat="1" applyFont="1" applyBorder="1" applyAlignment="1">
      <alignment horizontal="right" vertical="top"/>
    </xf>
    <xf numFmtId="3" fontId="10" fillId="0" borderId="5" xfId="5" applyNumberFormat="1" applyFont="1" applyBorder="1" applyAlignment="1">
      <alignment horizontal="right" vertical="top"/>
    </xf>
    <xf numFmtId="0" fontId="12" fillId="0" borderId="0" xfId="5"/>
    <xf numFmtId="168" fontId="12" fillId="0" borderId="0" xfId="5" applyNumberFormat="1" applyFont="1" applyAlignment="1">
      <alignment horizontal="left" vertical="top"/>
    </xf>
    <xf numFmtId="0" fontId="12" fillId="0" borderId="0" xfId="5" applyFont="1" applyAlignment="1">
      <alignment horizontal="center" vertical="top"/>
    </xf>
    <xf numFmtId="21" fontId="12" fillId="0" borderId="0" xfId="5" applyNumberFormat="1" applyFont="1" applyAlignment="1">
      <alignment horizontal="right" vertical="top"/>
    </xf>
    <xf numFmtId="0" fontId="11" fillId="5" borderId="5" xfId="5" applyFont="1" applyFill="1" applyBorder="1" applyAlignment="1">
      <alignment horizontal="left" vertical="top"/>
    </xf>
    <xf numFmtId="167" fontId="11" fillId="5" borderId="5" xfId="5" applyNumberFormat="1" applyFont="1" applyFill="1" applyBorder="1" applyAlignment="1">
      <alignment horizontal="right" vertical="top"/>
    </xf>
  </cellXfs>
  <cellStyles count="6">
    <cellStyle name="Calculation" xfId="4" builtinId="22"/>
    <cellStyle name="Comma" xfId="1" builtinId="3"/>
    <cellStyle name="Hyperlink" xfId="2" builtinId="8"/>
    <cellStyle name="Normal" xfId="0" builtinId="0"/>
    <cellStyle name="Normal 2" xfId="3" xr:uid="{00000000-0005-0000-0000-000004000000}"/>
    <cellStyle name="Normal 3" xfId="5" xr:uid="{F51C1828-E070-4048-A6B6-8C017D10116F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52400" cy="152400"/>
    <xdr:pic>
      <xdr:nvPicPr>
        <xdr:cNvPr id="2" name="filter.gif">
          <a:extLst>
            <a:ext uri="{FF2B5EF4-FFF2-40B4-BE49-F238E27FC236}">
              <a16:creationId xmlns:a16="http://schemas.microsoft.com/office/drawing/2014/main" id="{3CBC9C30-B86E-4DE0-95AE-05C55FA6A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0</xdr:colOff>
      <xdr:row>1</xdr:row>
      <xdr:rowOff>0</xdr:rowOff>
    </xdr:from>
    <xdr:ext cx="152400" cy="152400"/>
    <xdr:pic>
      <xdr:nvPicPr>
        <xdr:cNvPr id="3" name="filter.gif">
          <a:extLst>
            <a:ext uri="{FF2B5EF4-FFF2-40B4-BE49-F238E27FC236}">
              <a16:creationId xmlns:a16="http://schemas.microsoft.com/office/drawing/2014/main" id="{1E8B2353-0C0B-4E87-AA4C-7072F9198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0</xdr:colOff>
      <xdr:row>1</xdr:row>
      <xdr:rowOff>0</xdr:rowOff>
    </xdr:from>
    <xdr:ext cx="152400" cy="152400"/>
    <xdr:pic>
      <xdr:nvPicPr>
        <xdr:cNvPr id="4" name="filter.gif">
          <a:extLst>
            <a:ext uri="{FF2B5EF4-FFF2-40B4-BE49-F238E27FC236}">
              <a16:creationId xmlns:a16="http://schemas.microsoft.com/office/drawing/2014/main" id="{F820BEC8-68C4-4148-AB25-3D6535CA7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0</xdr:colOff>
      <xdr:row>1</xdr:row>
      <xdr:rowOff>0</xdr:rowOff>
    </xdr:from>
    <xdr:ext cx="152400" cy="152400"/>
    <xdr:pic>
      <xdr:nvPicPr>
        <xdr:cNvPr id="5" name="filter.gif">
          <a:extLst>
            <a:ext uri="{FF2B5EF4-FFF2-40B4-BE49-F238E27FC236}">
              <a16:creationId xmlns:a16="http://schemas.microsoft.com/office/drawing/2014/main" id="{0FDDD6CB-5F20-44DA-91FA-BA8C9E68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0</xdr:colOff>
      <xdr:row>1</xdr:row>
      <xdr:rowOff>0</xdr:rowOff>
    </xdr:from>
    <xdr:ext cx="152400" cy="152400"/>
    <xdr:pic>
      <xdr:nvPicPr>
        <xdr:cNvPr id="6" name="filter.gif">
          <a:extLst>
            <a:ext uri="{FF2B5EF4-FFF2-40B4-BE49-F238E27FC236}">
              <a16:creationId xmlns:a16="http://schemas.microsoft.com/office/drawing/2014/main" id="{16064BFC-4D6F-4BEC-B961-B904574F3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0</xdr:colOff>
      <xdr:row>1</xdr:row>
      <xdr:rowOff>0</xdr:rowOff>
    </xdr:from>
    <xdr:ext cx="152400" cy="152400"/>
    <xdr:pic>
      <xdr:nvPicPr>
        <xdr:cNvPr id="7" name="filter.gif">
          <a:extLst>
            <a:ext uri="{FF2B5EF4-FFF2-40B4-BE49-F238E27FC236}">
              <a16:creationId xmlns:a16="http://schemas.microsoft.com/office/drawing/2014/main" id="{96FAC6E9-0F5D-4BD5-A03E-78C418349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0</xdr:colOff>
      <xdr:row>1</xdr:row>
      <xdr:rowOff>0</xdr:rowOff>
    </xdr:from>
    <xdr:ext cx="152400" cy="152400"/>
    <xdr:pic>
      <xdr:nvPicPr>
        <xdr:cNvPr id="8" name="filter.gif">
          <a:extLst>
            <a:ext uri="{FF2B5EF4-FFF2-40B4-BE49-F238E27FC236}">
              <a16:creationId xmlns:a16="http://schemas.microsoft.com/office/drawing/2014/main" id="{F36E5C2A-B0A9-41AA-8BAD-9FEEE425A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0</xdr:colOff>
      <xdr:row>1</xdr:row>
      <xdr:rowOff>0</xdr:rowOff>
    </xdr:from>
    <xdr:ext cx="152400" cy="152400"/>
    <xdr:pic>
      <xdr:nvPicPr>
        <xdr:cNvPr id="9" name="filter.gif">
          <a:extLst>
            <a:ext uri="{FF2B5EF4-FFF2-40B4-BE49-F238E27FC236}">
              <a16:creationId xmlns:a16="http://schemas.microsoft.com/office/drawing/2014/main" id="{F69AFE61-2100-4DE7-93F9-2EEAC106D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0</xdr:colOff>
      <xdr:row>1</xdr:row>
      <xdr:rowOff>0</xdr:rowOff>
    </xdr:from>
    <xdr:ext cx="152400" cy="152400"/>
    <xdr:pic>
      <xdr:nvPicPr>
        <xdr:cNvPr id="10" name="filter.gif">
          <a:extLst>
            <a:ext uri="{FF2B5EF4-FFF2-40B4-BE49-F238E27FC236}">
              <a16:creationId xmlns:a16="http://schemas.microsoft.com/office/drawing/2014/main" id="{FFFE3D8E-BF15-4147-AEFF-0D85A3AEE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0</xdr:colOff>
      <xdr:row>1</xdr:row>
      <xdr:rowOff>0</xdr:rowOff>
    </xdr:from>
    <xdr:ext cx="152400" cy="152400"/>
    <xdr:pic>
      <xdr:nvPicPr>
        <xdr:cNvPr id="11" name="filter.gif">
          <a:extLst>
            <a:ext uri="{FF2B5EF4-FFF2-40B4-BE49-F238E27FC236}">
              <a16:creationId xmlns:a16="http://schemas.microsoft.com/office/drawing/2014/main" id="{39D365DC-F131-457E-9890-F384E35A5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0</xdr:colOff>
      <xdr:row>1</xdr:row>
      <xdr:rowOff>0</xdr:rowOff>
    </xdr:from>
    <xdr:ext cx="152400" cy="152400"/>
    <xdr:pic>
      <xdr:nvPicPr>
        <xdr:cNvPr id="12" name="filter.gif">
          <a:extLst>
            <a:ext uri="{FF2B5EF4-FFF2-40B4-BE49-F238E27FC236}">
              <a16:creationId xmlns:a16="http://schemas.microsoft.com/office/drawing/2014/main" id="{5869078D-D8EA-4571-A6C4-E292E25AE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0</xdr:colOff>
      <xdr:row>1</xdr:row>
      <xdr:rowOff>0</xdr:rowOff>
    </xdr:from>
    <xdr:ext cx="152400" cy="152400"/>
    <xdr:pic>
      <xdr:nvPicPr>
        <xdr:cNvPr id="13" name="filter.gif">
          <a:extLst>
            <a:ext uri="{FF2B5EF4-FFF2-40B4-BE49-F238E27FC236}">
              <a16:creationId xmlns:a16="http://schemas.microsoft.com/office/drawing/2014/main" id="{77F109FD-D3EC-48C9-A42C-B3D35BF97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0</xdr:colOff>
      <xdr:row>1</xdr:row>
      <xdr:rowOff>0</xdr:rowOff>
    </xdr:from>
    <xdr:ext cx="152400" cy="152400"/>
    <xdr:pic>
      <xdr:nvPicPr>
        <xdr:cNvPr id="14" name="filter.gif">
          <a:extLst>
            <a:ext uri="{FF2B5EF4-FFF2-40B4-BE49-F238E27FC236}">
              <a16:creationId xmlns:a16="http://schemas.microsoft.com/office/drawing/2014/main" id="{EBA5FD8D-2675-41BF-99D6-9D45D82CF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0</xdr:colOff>
      <xdr:row>1</xdr:row>
      <xdr:rowOff>0</xdr:rowOff>
    </xdr:from>
    <xdr:ext cx="152400" cy="152400"/>
    <xdr:pic>
      <xdr:nvPicPr>
        <xdr:cNvPr id="15" name="filter.gif">
          <a:extLst>
            <a:ext uri="{FF2B5EF4-FFF2-40B4-BE49-F238E27FC236}">
              <a16:creationId xmlns:a16="http://schemas.microsoft.com/office/drawing/2014/main" id="{90266735-D8DE-4448-B44E-78C09205B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17</xdr:col>
      <xdr:colOff>246705</xdr:colOff>
      <xdr:row>3</xdr:row>
      <xdr:rowOff>104714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C0587B-49B1-5922-EBE6-1305C2684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90500"/>
          <a:ext cx="7561905" cy="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xchangerates.org.uk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59"/>
  <sheetViews>
    <sheetView tabSelected="1" zoomScale="80" zoomScaleNormal="80" workbookViewId="0">
      <selection activeCell="M20" sqref="M20"/>
    </sheetView>
  </sheetViews>
  <sheetFormatPr defaultColWidth="9.140625" defaultRowHeight="15" x14ac:dyDescent="0.25"/>
  <cols>
    <col min="1" max="1" width="5.28515625" style="1" customWidth="1"/>
    <col min="2" max="2" width="16.28515625" style="1" bestFit="1" customWidth="1"/>
    <col min="3" max="3" width="15.7109375" style="1" bestFit="1" customWidth="1"/>
    <col min="4" max="4" width="13.42578125" style="1" bestFit="1" customWidth="1"/>
    <col min="5" max="5" width="21" style="1" bestFit="1" customWidth="1"/>
    <col min="6" max="6" width="18" style="1" bestFit="1" customWidth="1"/>
    <col min="7" max="7" width="9.28515625" style="1" bestFit="1" customWidth="1"/>
    <col min="8" max="8" width="12.42578125" style="17" bestFit="1" customWidth="1"/>
    <col min="9" max="9" width="15" style="17" bestFit="1" customWidth="1"/>
    <col min="10" max="10" width="10" style="16" bestFit="1" customWidth="1"/>
    <col min="11" max="16384" width="9.140625" style="1"/>
  </cols>
  <sheetData>
    <row r="1" spans="1:10" ht="18" x14ac:dyDescent="0.25">
      <c r="F1" s="6"/>
      <c r="H1" s="20" t="s">
        <v>31</v>
      </c>
      <c r="I1" s="21"/>
      <c r="J1" s="21"/>
    </row>
    <row r="2" spans="1:10" ht="15.75" customHeight="1" thickBot="1" x14ac:dyDescent="0.3">
      <c r="A2" s="6"/>
      <c r="B2" s="6"/>
      <c r="C2" s="6"/>
      <c r="D2" s="6"/>
      <c r="E2" s="6"/>
      <c r="F2" s="6"/>
      <c r="H2" s="22" t="s">
        <v>165</v>
      </c>
      <c r="I2" s="21"/>
      <c r="J2" s="21"/>
    </row>
    <row r="3" spans="1:10" ht="15.75" thickBot="1" x14ac:dyDescent="0.3">
      <c r="B3" s="10" t="s">
        <v>19</v>
      </c>
      <c r="C3" s="10" t="s">
        <v>19</v>
      </c>
      <c r="D3" s="10" t="s">
        <v>20</v>
      </c>
      <c r="H3" s="15" t="s">
        <v>163</v>
      </c>
      <c r="I3" s="15" t="s">
        <v>32</v>
      </c>
    </row>
    <row r="4" spans="1:10" ht="15.75" thickBot="1" x14ac:dyDescent="0.3">
      <c r="A4" s="7"/>
      <c r="B4" s="11" t="s">
        <v>4</v>
      </c>
      <c r="C4" s="11" t="s">
        <v>4</v>
      </c>
      <c r="D4" s="12">
        <v>1</v>
      </c>
      <c r="H4" s="23" t="s">
        <v>36</v>
      </c>
      <c r="I4" s="24">
        <v>84.670699999999997</v>
      </c>
    </row>
    <row r="5" spans="1:10" ht="15.75" thickBot="1" x14ac:dyDescent="0.3">
      <c r="A5" s="7"/>
      <c r="B5" s="11" t="s">
        <v>0</v>
      </c>
      <c r="C5" s="11" t="s">
        <v>4</v>
      </c>
      <c r="D5" s="13">
        <f ca="1">1/OFFSET($H$3,MATCH(B5,$H$4:$H$158,0),1)</f>
        <v>0.8726764988218868</v>
      </c>
      <c r="H5" s="23" t="s">
        <v>1</v>
      </c>
      <c r="I5" s="24">
        <v>1.3473999999999999</v>
      </c>
    </row>
    <row r="6" spans="1:10" ht="15.75" thickBot="1" x14ac:dyDescent="0.3">
      <c r="A6" s="7"/>
      <c r="B6" s="11" t="s">
        <v>6</v>
      </c>
      <c r="C6" s="11" t="s">
        <v>4</v>
      </c>
      <c r="D6" s="13">
        <f t="shared" ref="D6:D33" ca="1" si="0">1/OFFSET($H$3,MATCH(B6,$H$4:$H$158,0),1)</f>
        <v>0.54241701019743982</v>
      </c>
      <c r="H6" s="23" t="s">
        <v>28</v>
      </c>
      <c r="I6" s="24">
        <v>22582.424999999999</v>
      </c>
    </row>
    <row r="7" spans="1:10" ht="15.75" thickBot="1" x14ac:dyDescent="0.3">
      <c r="A7" s="7"/>
      <c r="B7" s="11" t="s">
        <v>1</v>
      </c>
      <c r="C7" s="11" t="s">
        <v>4</v>
      </c>
      <c r="D7" s="13">
        <f ca="1">1/OFFSET($H$3,MATCH(B7,$H$4:$H$158,0),1)</f>
        <v>0.74217010538815498</v>
      </c>
      <c r="H7" s="23" t="s">
        <v>37</v>
      </c>
      <c r="I7" s="24">
        <v>9.3105499999999992</v>
      </c>
    </row>
    <row r="8" spans="1:10" ht="15.75" thickBot="1" x14ac:dyDescent="0.3">
      <c r="A8" s="7"/>
      <c r="B8" s="11" t="s">
        <v>7</v>
      </c>
      <c r="C8" s="11" t="s">
        <v>4</v>
      </c>
      <c r="D8" s="13">
        <f t="shared" ca="1" si="0"/>
        <v>9.5371615499794948E-2</v>
      </c>
      <c r="H8" s="23" t="s">
        <v>38</v>
      </c>
      <c r="I8" s="24">
        <v>4.9058999999999999</v>
      </c>
    </row>
    <row r="9" spans="1:10" ht="15.75" thickBot="1" x14ac:dyDescent="0.3">
      <c r="A9" s="7"/>
      <c r="B9" s="11" t="s">
        <v>8</v>
      </c>
      <c r="C9" s="11" t="s">
        <v>4</v>
      </c>
      <c r="D9" s="13">
        <f t="shared" ca="1" si="0"/>
        <v>8.2655045367288019E-3</v>
      </c>
      <c r="H9" s="23" t="s">
        <v>39</v>
      </c>
      <c r="I9" s="24">
        <v>10.9663</v>
      </c>
    </row>
    <row r="10" spans="1:10" ht="15.75" thickBot="1" x14ac:dyDescent="0.3">
      <c r="A10" s="7"/>
      <c r="B10" s="11" t="s">
        <v>9</v>
      </c>
      <c r="C10" s="11" t="s">
        <v>4</v>
      </c>
      <c r="D10" s="13">
        <f t="shared" ca="1" si="0"/>
        <v>1.8954633033565812E-2</v>
      </c>
      <c r="H10" s="23" t="s">
        <v>40</v>
      </c>
      <c r="I10" s="24">
        <v>671.34934999999996</v>
      </c>
    </row>
    <row r="11" spans="1:10" ht="15.75" thickBot="1" x14ac:dyDescent="0.3">
      <c r="A11" s="7"/>
      <c r="B11" s="11" t="s">
        <v>10</v>
      </c>
      <c r="C11" s="11" t="s">
        <v>4</v>
      </c>
      <c r="D11" s="13">
        <f t="shared" ca="1" si="0"/>
        <v>0.10617965597791464</v>
      </c>
      <c r="H11" s="23" t="s">
        <v>22</v>
      </c>
      <c r="I11" s="24">
        <v>1940.9971</v>
      </c>
    </row>
    <row r="12" spans="1:10" ht="15.75" thickBot="1" x14ac:dyDescent="0.3">
      <c r="A12" s="7"/>
      <c r="B12" s="11" t="s">
        <v>11</v>
      </c>
      <c r="C12" s="11" t="s">
        <v>4</v>
      </c>
      <c r="D12" s="13">
        <f t="shared" ca="1" si="0"/>
        <v>0.49730213591267375</v>
      </c>
      <c r="H12" s="23" t="s">
        <v>41</v>
      </c>
      <c r="I12" s="24">
        <v>3.6299000000000001</v>
      </c>
    </row>
    <row r="13" spans="1:10" ht="15.75" thickBot="1" x14ac:dyDescent="0.3">
      <c r="A13" s="7"/>
      <c r="B13" s="11" t="s">
        <v>12</v>
      </c>
      <c r="C13" s="11" t="s">
        <v>4</v>
      </c>
      <c r="D13" s="13">
        <f t="shared" ca="1" si="0"/>
        <v>0.577634011090573</v>
      </c>
      <c r="H13" s="23" t="s">
        <v>44</v>
      </c>
      <c r="I13" s="24">
        <v>676.58349999999996</v>
      </c>
    </row>
    <row r="14" spans="1:10" ht="15.75" thickBot="1" x14ac:dyDescent="0.3">
      <c r="A14" s="7"/>
      <c r="B14" s="11" t="s">
        <v>13</v>
      </c>
      <c r="C14" s="11" t="s">
        <v>4</v>
      </c>
      <c r="D14" s="13">
        <f t="shared" ca="1" si="0"/>
        <v>0.20208143881984439</v>
      </c>
      <c r="H14" s="23" t="s">
        <v>21</v>
      </c>
      <c r="I14" s="24">
        <v>7.4070499999999999</v>
      </c>
    </row>
    <row r="15" spans="1:10" ht="15.75" thickBot="1" x14ac:dyDescent="0.3">
      <c r="A15" s="7"/>
      <c r="B15" s="11" t="s">
        <v>2</v>
      </c>
      <c r="C15" s="11" t="s">
        <v>4</v>
      </c>
      <c r="D15" s="13">
        <f t="shared" ca="1" si="0"/>
        <v>0.93830635702556886</v>
      </c>
      <c r="H15" s="23" t="s">
        <v>33</v>
      </c>
      <c r="I15" s="24">
        <v>2917.1239999999998</v>
      </c>
    </row>
    <row r="16" spans="1:10" ht="15.75" thickBot="1" x14ac:dyDescent="0.3">
      <c r="A16" s="7"/>
      <c r="B16" s="11" t="s">
        <v>3</v>
      </c>
      <c r="C16" s="11" t="s">
        <v>4</v>
      </c>
      <c r="D16" s="13">
        <f t="shared" ca="1" si="0"/>
        <v>0.11685655857435</v>
      </c>
      <c r="H16" s="23" t="s">
        <v>18</v>
      </c>
      <c r="I16" s="24">
        <v>24.1646</v>
      </c>
    </row>
    <row r="17" spans="1:9" ht="15.75" thickBot="1" x14ac:dyDescent="0.3">
      <c r="A17" s="7"/>
      <c r="B17" s="11" t="s">
        <v>5</v>
      </c>
      <c r="C17" s="11" t="s">
        <v>4</v>
      </c>
      <c r="D17" s="13">
        <f t="shared" ca="1" si="0"/>
        <v>4.7473056666688818E-3</v>
      </c>
      <c r="H17" s="23" t="s">
        <v>45</v>
      </c>
      <c r="I17" s="24">
        <v>3.2364000000000002</v>
      </c>
    </row>
    <row r="18" spans="1:9" ht="15.75" thickBot="1" x14ac:dyDescent="0.3">
      <c r="A18" s="7"/>
      <c r="B18" s="11" t="s">
        <v>14</v>
      </c>
      <c r="C18" s="11" t="s">
        <v>4</v>
      </c>
      <c r="D18" s="13">
        <f t="shared" ca="1" si="0"/>
        <v>2.3658587653292863E-2</v>
      </c>
      <c r="H18" s="23" t="s">
        <v>42</v>
      </c>
      <c r="I18" s="24">
        <v>35396.198600000003</v>
      </c>
    </row>
    <row r="19" spans="1:9" ht="15.75" thickBot="1" x14ac:dyDescent="0.3">
      <c r="A19" s="7"/>
      <c r="B19" s="11" t="s">
        <v>15</v>
      </c>
      <c r="C19" s="11" t="s">
        <v>4</v>
      </c>
      <c r="D19" s="13">
        <f t="shared" ca="1" si="0"/>
        <v>8.0717742163316203E-2</v>
      </c>
      <c r="H19" s="23" t="s">
        <v>43</v>
      </c>
      <c r="I19" s="24">
        <v>751.65755000000001</v>
      </c>
    </row>
    <row r="20" spans="1:9" ht="15" customHeight="1" thickBot="1" x14ac:dyDescent="0.3">
      <c r="A20" s="7"/>
      <c r="B20" s="11" t="s">
        <v>18</v>
      </c>
      <c r="C20" s="11" t="s">
        <v>4</v>
      </c>
      <c r="D20" s="13">
        <f t="shared" ca="1" si="0"/>
        <v>4.1382849291939451E-2</v>
      </c>
      <c r="E20" s="7"/>
      <c r="F20" s="7"/>
      <c r="G20" s="7"/>
      <c r="H20" s="23" t="s">
        <v>46</v>
      </c>
      <c r="I20" s="24">
        <v>1213.5427</v>
      </c>
    </row>
    <row r="21" spans="1:9" ht="15.75" thickBot="1" x14ac:dyDescent="0.3">
      <c r="A21" s="7"/>
      <c r="B21" s="11" t="s">
        <v>16</v>
      </c>
      <c r="C21" s="11" t="s">
        <v>4</v>
      </c>
      <c r="D21" s="13">
        <f t="shared" ca="1" si="0"/>
        <v>7.3903002309468821E-2</v>
      </c>
      <c r="E21" s="7"/>
      <c r="F21" s="7"/>
      <c r="G21" s="7"/>
      <c r="H21" s="23" t="s">
        <v>47</v>
      </c>
      <c r="I21" s="24">
        <v>6.8132000000000001</v>
      </c>
    </row>
    <row r="22" spans="1:9" ht="15" customHeight="1" thickBot="1" x14ac:dyDescent="0.3">
      <c r="A22" s="7"/>
      <c r="B22" s="11" t="s">
        <v>17</v>
      </c>
      <c r="C22" s="11" t="s">
        <v>4</v>
      </c>
      <c r="D22" s="13">
        <f t="shared" ca="1" si="0"/>
        <v>0.43079309007883515</v>
      </c>
      <c r="E22" s="7"/>
      <c r="F22" s="7"/>
      <c r="G22" s="7"/>
      <c r="H22" s="23" t="s">
        <v>48</v>
      </c>
      <c r="I22" s="24">
        <v>0.90244999999999997</v>
      </c>
    </row>
    <row r="23" spans="1:9" ht="15.75" thickBot="1" x14ac:dyDescent="0.3">
      <c r="A23" s="7"/>
      <c r="B23" s="11" t="s">
        <v>21</v>
      </c>
      <c r="C23" s="11" t="s">
        <v>4</v>
      </c>
      <c r="D23" s="13">
        <f t="shared" ca="1" si="0"/>
        <v>0.13500651406430361</v>
      </c>
      <c r="E23" s="7"/>
      <c r="F23" s="7"/>
      <c r="G23" s="7"/>
      <c r="H23" s="23" t="s">
        <v>49</v>
      </c>
      <c r="I23" s="24">
        <v>51.371699999999997</v>
      </c>
    </row>
    <row r="24" spans="1:9" ht="15.75" thickBot="1" x14ac:dyDescent="0.3">
      <c r="A24" s="7"/>
      <c r="B24" s="11" t="s">
        <v>22</v>
      </c>
      <c r="C24" s="11" t="s">
        <v>4</v>
      </c>
      <c r="D24" s="13">
        <f t="shared" ca="1" si="0"/>
        <v>5.1519912111151528E-4</v>
      </c>
      <c r="E24" s="7"/>
      <c r="F24" s="7"/>
      <c r="G24" s="7"/>
      <c r="H24" s="23" t="s">
        <v>9</v>
      </c>
      <c r="I24" s="24">
        <v>52.757550000000002</v>
      </c>
    </row>
    <row r="25" spans="1:9" ht="15.75" thickBot="1" x14ac:dyDescent="0.3">
      <c r="A25" s="7"/>
      <c r="B25" s="11" t="s">
        <v>23</v>
      </c>
      <c r="C25" s="11" t="s">
        <v>4</v>
      </c>
      <c r="D25" s="13">
        <f t="shared" ca="1" si="0"/>
        <v>0.18338865557776599</v>
      </c>
      <c r="E25" s="7"/>
      <c r="F25" s="7"/>
      <c r="G25" s="7"/>
      <c r="H25" s="23" t="s">
        <v>50</v>
      </c>
      <c r="I25" s="24">
        <v>0.67064999999999997</v>
      </c>
    </row>
    <row r="26" spans="1:9" ht="15.75" thickBot="1" x14ac:dyDescent="0.3">
      <c r="A26" s="7"/>
      <c r="B26" s="11" t="s">
        <v>24</v>
      </c>
      <c r="C26" s="11" t="s">
        <v>4</v>
      </c>
      <c r="D26" s="13">
        <f ca="1">1/OFFSET($H$3,MATCH(B26,$H$4:$H$158,0),1)</f>
        <v>2.3557209271646427E-2</v>
      </c>
      <c r="E26" s="7"/>
      <c r="F26" s="7"/>
      <c r="G26" s="7"/>
      <c r="H26" s="23" t="s">
        <v>51</v>
      </c>
      <c r="I26" s="24">
        <v>274.60214999999999</v>
      </c>
    </row>
    <row r="27" spans="1:9" ht="15.75" thickBot="1" x14ac:dyDescent="0.3">
      <c r="A27" s="7"/>
      <c r="B27" s="11" t="s">
        <v>25</v>
      </c>
      <c r="C27" s="11" t="s">
        <v>4</v>
      </c>
      <c r="D27" s="13">
        <f t="shared" ca="1" si="0"/>
        <v>2.2632345469174179E-3</v>
      </c>
      <c r="E27" s="7"/>
      <c r="F27" s="7"/>
      <c r="G27" s="7"/>
      <c r="H27" s="23" t="s">
        <v>52</v>
      </c>
      <c r="I27" s="24">
        <v>64.29795</v>
      </c>
    </row>
    <row r="28" spans="1:9" ht="15.75" thickBot="1" x14ac:dyDescent="0.3">
      <c r="A28" s="7"/>
      <c r="B28" s="11" t="s">
        <v>26</v>
      </c>
      <c r="C28" s="11" t="s">
        <v>4</v>
      </c>
      <c r="D28" s="13">
        <f t="shared" ca="1" si="0"/>
        <v>0.10612669404735373</v>
      </c>
      <c r="E28" s="7"/>
      <c r="F28" s="7"/>
      <c r="G28" s="7"/>
      <c r="H28" s="23" t="s">
        <v>53</v>
      </c>
      <c r="I28" s="24">
        <v>134.42335</v>
      </c>
    </row>
    <row r="29" spans="1:9" ht="15.75" thickBot="1" x14ac:dyDescent="0.3">
      <c r="A29" s="7"/>
      <c r="B29" s="11" t="s">
        <v>27</v>
      </c>
      <c r="C29" s="11" t="s">
        <v>4</v>
      </c>
      <c r="D29" s="13">
        <f t="shared" ca="1" si="0"/>
        <v>3.6009110304907145E-2</v>
      </c>
      <c r="E29" s="7"/>
      <c r="F29" s="7"/>
      <c r="G29" s="7"/>
      <c r="H29" s="23" t="s">
        <v>54</v>
      </c>
      <c r="I29" s="24">
        <v>0.41494999999999999</v>
      </c>
    </row>
    <row r="30" spans="1:9" ht="15.75" thickBot="1" x14ac:dyDescent="0.3">
      <c r="A30" s="7"/>
      <c r="B30" s="11" t="s">
        <v>28</v>
      </c>
      <c r="C30" s="11" t="s">
        <v>4</v>
      </c>
      <c r="D30" s="13">
        <f t="shared" ca="1" si="0"/>
        <v>4.4282223897566361E-5</v>
      </c>
      <c r="E30" s="7"/>
      <c r="F30" s="7"/>
      <c r="G30" s="8"/>
      <c r="H30" s="23" t="s">
        <v>55</v>
      </c>
      <c r="I30" s="24">
        <v>34.5212</v>
      </c>
    </row>
    <row r="31" spans="1:9" ht="15.75" thickBot="1" x14ac:dyDescent="0.3">
      <c r="A31" s="7"/>
      <c r="B31" s="11" t="s">
        <v>29</v>
      </c>
      <c r="C31" s="11" t="s">
        <v>4</v>
      </c>
      <c r="D31" s="13">
        <f t="shared" ca="1" si="0"/>
        <v>4.4715819786303096E-2</v>
      </c>
      <c r="E31" s="7"/>
      <c r="F31" s="7"/>
      <c r="G31" s="7"/>
      <c r="H31" s="23" t="s">
        <v>56</v>
      </c>
      <c r="I31" s="24">
        <v>9.1034000000000006</v>
      </c>
    </row>
    <row r="32" spans="1:9" ht="15.75" thickBot="1" x14ac:dyDescent="0.3">
      <c r="A32" s="7"/>
      <c r="B32" s="11" t="s">
        <v>30</v>
      </c>
      <c r="C32" s="11" t="s">
        <v>4</v>
      </c>
      <c r="D32" s="13">
        <f ca="1">1/OFFSET($H$3,MATCH("NOK",$H$4:$H$158,0),1)</f>
        <v>7.3903002309468821E-2</v>
      </c>
      <c r="E32" s="9" t="s">
        <v>34</v>
      </c>
      <c r="F32" s="7"/>
      <c r="G32" s="7"/>
      <c r="H32" s="23" t="s">
        <v>29</v>
      </c>
      <c r="I32" s="24">
        <v>22.36345</v>
      </c>
    </row>
    <row r="33" spans="1:9" ht="15.75" thickBot="1" x14ac:dyDescent="0.3">
      <c r="A33" s="7"/>
      <c r="B33" s="11" t="s">
        <v>33</v>
      </c>
      <c r="C33" s="11" t="s">
        <v>4</v>
      </c>
      <c r="D33" s="13">
        <f t="shared" ca="1" si="0"/>
        <v>3.4280339128538932E-4</v>
      </c>
      <c r="E33" s="7"/>
      <c r="F33" s="7"/>
      <c r="G33" s="7"/>
      <c r="H33" s="23" t="s">
        <v>59</v>
      </c>
      <c r="I33" s="24">
        <v>2.2412000000000001</v>
      </c>
    </row>
    <row r="34" spans="1:9" ht="15.75" thickBot="1" x14ac:dyDescent="0.3">
      <c r="A34" s="7"/>
      <c r="B34" s="14"/>
      <c r="C34" s="14"/>
      <c r="D34" s="14"/>
      <c r="E34" s="7"/>
      <c r="F34" s="7"/>
      <c r="G34" s="7"/>
      <c r="H34" s="23" t="s">
        <v>61</v>
      </c>
      <c r="I34" s="24">
        <v>0.50795000000000001</v>
      </c>
    </row>
    <row r="35" spans="1:9" ht="15.75" thickBot="1" x14ac:dyDescent="0.3">
      <c r="H35" s="23" t="s">
        <v>62</v>
      </c>
      <c r="I35" s="24">
        <v>22.616150000000001</v>
      </c>
    </row>
    <row r="36" spans="1:9" ht="15.75" thickBot="1" x14ac:dyDescent="0.3">
      <c r="B36" s="18" t="s">
        <v>35</v>
      </c>
      <c r="C36" s="19"/>
      <c r="H36" s="23" t="s">
        <v>63</v>
      </c>
      <c r="I36" s="24">
        <v>1949.35295</v>
      </c>
    </row>
    <row r="37" spans="1:9" ht="15" customHeight="1" thickBot="1" x14ac:dyDescent="0.3">
      <c r="H37" s="23" t="s">
        <v>64</v>
      </c>
      <c r="I37" s="24">
        <v>0.51885000000000003</v>
      </c>
    </row>
    <row r="38" spans="1:9" ht="15.75" thickBot="1" x14ac:dyDescent="0.3">
      <c r="H38" s="23" t="s">
        <v>65</v>
      </c>
      <c r="I38" s="24">
        <v>3.87995</v>
      </c>
    </row>
    <row r="39" spans="1:9" ht="15.75" thickBot="1" x14ac:dyDescent="0.3">
      <c r="H39" s="23" t="s">
        <v>66</v>
      </c>
      <c r="I39" s="24">
        <v>12.27745</v>
      </c>
    </row>
    <row r="40" spans="1:9" ht="15.75" thickBot="1" x14ac:dyDescent="0.3">
      <c r="H40" s="23" t="s">
        <v>67</v>
      </c>
      <c r="I40" s="24">
        <v>1.1458999999999999</v>
      </c>
    </row>
    <row r="41" spans="1:9" ht="15.75" thickBot="1" x14ac:dyDescent="0.3">
      <c r="H41" s="23" t="s">
        <v>57</v>
      </c>
      <c r="I41" s="24">
        <v>136.74154999999999</v>
      </c>
    </row>
    <row r="42" spans="1:9" ht="15.75" thickBot="1" x14ac:dyDescent="0.3">
      <c r="H42" s="23" t="s">
        <v>68</v>
      </c>
      <c r="I42" s="24">
        <v>229.7312</v>
      </c>
    </row>
    <row r="43" spans="1:9" ht="15.75" thickBot="1" x14ac:dyDescent="0.3">
      <c r="H43" s="23" t="s">
        <v>69</v>
      </c>
      <c r="I43" s="24">
        <v>2.2412000000000001</v>
      </c>
    </row>
    <row r="44" spans="1:9" ht="15.75" thickBot="1" x14ac:dyDescent="0.3">
      <c r="H44" s="23" t="s">
        <v>70</v>
      </c>
      <c r="I44" s="24">
        <v>107.1185</v>
      </c>
    </row>
    <row r="45" spans="1:9" ht="15.75" thickBot="1" x14ac:dyDescent="0.3">
      <c r="H45" s="23" t="s">
        <v>58</v>
      </c>
      <c r="I45" s="24">
        <v>3.63795</v>
      </c>
    </row>
    <row r="46" spans="1:9" ht="15.75" thickBot="1" x14ac:dyDescent="0.3">
      <c r="H46" s="23" t="s">
        <v>71</v>
      </c>
      <c r="I46" s="24">
        <v>8845.5416000000005</v>
      </c>
    </row>
    <row r="47" spans="1:9" ht="15.75" thickBot="1" x14ac:dyDescent="0.3">
      <c r="H47" s="23" t="s">
        <v>15</v>
      </c>
      <c r="I47" s="24">
        <v>12.38885</v>
      </c>
    </row>
    <row r="48" spans="1:9" ht="15.75" thickBot="1" x14ac:dyDescent="0.3">
      <c r="H48" s="23" t="s">
        <v>26</v>
      </c>
      <c r="I48" s="24">
        <v>9.4227000000000007</v>
      </c>
    </row>
    <row r="49" spans="8:9" ht="15.75" thickBot="1" x14ac:dyDescent="0.3">
      <c r="H49" s="23" t="s">
        <v>24</v>
      </c>
      <c r="I49" s="24">
        <v>42.449849999999998</v>
      </c>
    </row>
    <row r="50" spans="8:9" ht="15.75" thickBot="1" x14ac:dyDescent="0.3">
      <c r="H50" s="23" t="s">
        <v>8</v>
      </c>
      <c r="I50" s="24">
        <v>120.98475000000001</v>
      </c>
    </row>
    <row r="51" spans="8:9" ht="15.75" thickBot="1" x14ac:dyDescent="0.3">
      <c r="H51" s="23" t="s">
        <v>60</v>
      </c>
      <c r="I51" s="24">
        <v>0.98360000000000003</v>
      </c>
    </row>
    <row r="52" spans="8:9" ht="15.75" thickBot="1" x14ac:dyDescent="0.3">
      <c r="H52" s="23" t="s">
        <v>2</v>
      </c>
      <c r="I52" s="24">
        <v>1.06575</v>
      </c>
    </row>
    <row r="53" spans="8:9" ht="15.75" thickBot="1" x14ac:dyDescent="0.3">
      <c r="H53" s="23" t="s">
        <v>77</v>
      </c>
      <c r="I53" s="24">
        <v>2.6947999999999999</v>
      </c>
    </row>
    <row r="54" spans="8:9" ht="15.75" thickBot="1" x14ac:dyDescent="0.3">
      <c r="H54" s="23" t="s">
        <v>78</v>
      </c>
      <c r="I54" s="24">
        <v>110.58799999999999</v>
      </c>
    </row>
    <row r="55" spans="8:9" ht="15.75" thickBot="1" x14ac:dyDescent="0.3">
      <c r="H55" s="23" t="s">
        <v>74</v>
      </c>
      <c r="I55" s="24">
        <v>1247.6554000000001</v>
      </c>
    </row>
    <row r="56" spans="8:9" ht="15.75" thickBot="1" x14ac:dyDescent="0.3">
      <c r="H56" s="23" t="s">
        <v>92</v>
      </c>
      <c r="I56" s="24">
        <v>32.337600000000002</v>
      </c>
    </row>
    <row r="57" spans="8:9" ht="15.75" thickBot="1" x14ac:dyDescent="0.3">
      <c r="H57" s="23" t="s">
        <v>79</v>
      </c>
      <c r="I57" s="24">
        <v>4796.7460000000001</v>
      </c>
    </row>
    <row r="58" spans="8:9" ht="15.75" thickBot="1" x14ac:dyDescent="0.3">
      <c r="H58" s="23" t="s">
        <v>80</v>
      </c>
      <c r="I58" s="24">
        <v>1.1048500000000001</v>
      </c>
    </row>
    <row r="59" spans="8:9" ht="15.75" thickBot="1" x14ac:dyDescent="0.3">
      <c r="H59" s="23" t="s">
        <v>3</v>
      </c>
      <c r="I59" s="24">
        <v>8.5574999999999992</v>
      </c>
    </row>
    <row r="60" spans="8:9" ht="15.75" thickBot="1" x14ac:dyDescent="0.3">
      <c r="H60" s="23" t="s">
        <v>82</v>
      </c>
      <c r="I60" s="24">
        <v>14.01295</v>
      </c>
    </row>
    <row r="61" spans="8:9" ht="15.75" thickBot="1" x14ac:dyDescent="0.3">
      <c r="H61" s="23" t="s">
        <v>81</v>
      </c>
      <c r="I61" s="24">
        <v>5.8403999999999998</v>
      </c>
    </row>
    <row r="62" spans="8:9" ht="15.75" thickBot="1" x14ac:dyDescent="0.3">
      <c r="H62" s="23" t="s">
        <v>94</v>
      </c>
      <c r="I62" s="24">
        <v>176.03755000000001</v>
      </c>
    </row>
    <row r="63" spans="8:9" ht="15.75" thickBot="1" x14ac:dyDescent="0.3">
      <c r="H63" s="23" t="s">
        <v>83</v>
      </c>
      <c r="I63" s="24">
        <v>2.6947999999999999</v>
      </c>
    </row>
    <row r="64" spans="8:9" ht="15.75" thickBot="1" x14ac:dyDescent="0.3">
      <c r="H64" s="23" t="s">
        <v>84</v>
      </c>
      <c r="I64" s="24">
        <v>4877.5889999999999</v>
      </c>
    </row>
    <row r="65" spans="8:9" ht="15.75" thickBot="1" x14ac:dyDescent="0.3">
      <c r="H65" s="23" t="s">
        <v>85</v>
      </c>
      <c r="I65" s="24">
        <v>79.270949999999999</v>
      </c>
    </row>
    <row r="66" spans="8:9" ht="15.75" thickBot="1" x14ac:dyDescent="0.3">
      <c r="H66" s="23" t="s">
        <v>86</v>
      </c>
      <c r="I66" s="24">
        <v>3986.2860999999998</v>
      </c>
    </row>
    <row r="67" spans="8:9" ht="15.75" thickBot="1" x14ac:dyDescent="0.3">
      <c r="H67" s="23" t="s">
        <v>87</v>
      </c>
      <c r="I67" s="24">
        <v>57.862749999999998</v>
      </c>
    </row>
    <row r="68" spans="8:9" ht="15.75" thickBot="1" x14ac:dyDescent="0.3">
      <c r="H68" s="23" t="s">
        <v>75</v>
      </c>
      <c r="I68" s="25">
        <v>33685</v>
      </c>
    </row>
    <row r="69" spans="8:9" ht="15.75" thickBot="1" x14ac:dyDescent="0.3">
      <c r="H69" s="23" t="s">
        <v>88</v>
      </c>
      <c r="I69" s="24">
        <v>117.78660000000001</v>
      </c>
    </row>
    <row r="70" spans="8:9" ht="15.75" thickBot="1" x14ac:dyDescent="0.3">
      <c r="H70" s="23" t="s">
        <v>73</v>
      </c>
      <c r="I70" s="24">
        <v>3.0627</v>
      </c>
    </row>
    <row r="71" spans="8:9" ht="15.75" thickBot="1" x14ac:dyDescent="0.3">
      <c r="H71" s="23" t="s">
        <v>76</v>
      </c>
      <c r="I71" s="24">
        <v>8.6337499999999991</v>
      </c>
    </row>
    <row r="72" spans="8:9" ht="15.75" thickBot="1" x14ac:dyDescent="0.3">
      <c r="H72" s="23" t="s">
        <v>89</v>
      </c>
      <c r="I72" s="24">
        <v>417.76139999999998</v>
      </c>
    </row>
    <row r="73" spans="8:9" ht="15.75" thickBot="1" x14ac:dyDescent="0.3">
      <c r="H73" s="23" t="s">
        <v>72</v>
      </c>
      <c r="I73" s="24">
        <v>42.395949999999999</v>
      </c>
    </row>
    <row r="74" spans="8:9" ht="15.75" thickBot="1" x14ac:dyDescent="0.3">
      <c r="H74" s="23" t="s">
        <v>17</v>
      </c>
      <c r="I74" s="24">
        <v>2.3212999999999999</v>
      </c>
    </row>
    <row r="75" spans="8:9" ht="15.75" thickBot="1" x14ac:dyDescent="0.3">
      <c r="H75" s="23" t="s">
        <v>93</v>
      </c>
      <c r="I75" s="24">
        <v>377.37310000000002</v>
      </c>
    </row>
    <row r="76" spans="8:9" ht="15.75" thickBot="1" x14ac:dyDescent="0.3">
      <c r="H76" s="23" t="s">
        <v>90</v>
      </c>
      <c r="I76" s="24">
        <v>401.21589999999998</v>
      </c>
    </row>
    <row r="77" spans="8:9" ht="15.75" thickBot="1" x14ac:dyDescent="0.3">
      <c r="H77" s="23" t="s">
        <v>91</v>
      </c>
      <c r="I77" s="24">
        <v>162.32884999999999</v>
      </c>
    </row>
    <row r="78" spans="8:9" ht="15.75" thickBot="1" x14ac:dyDescent="0.3">
      <c r="H78" s="23" t="s">
        <v>0</v>
      </c>
      <c r="I78" s="24">
        <v>1.1458999999999999</v>
      </c>
    </row>
    <row r="79" spans="8:9" ht="15.75" thickBot="1" x14ac:dyDescent="0.3">
      <c r="H79" s="23" t="s">
        <v>97</v>
      </c>
      <c r="I79" s="24">
        <v>1968.5473</v>
      </c>
    </row>
    <row r="80" spans="8:9" ht="15.75" thickBot="1" x14ac:dyDescent="0.3">
      <c r="H80" s="23" t="s">
        <v>95</v>
      </c>
      <c r="I80" s="24">
        <v>390.46355</v>
      </c>
    </row>
    <row r="81" spans="8:9" ht="15.75" thickBot="1" x14ac:dyDescent="0.3">
      <c r="H81" s="23" t="s">
        <v>96</v>
      </c>
      <c r="I81" s="24">
        <v>17.929349999999999</v>
      </c>
    </row>
    <row r="82" spans="8:9" ht="15.75" thickBot="1" x14ac:dyDescent="0.3">
      <c r="H82" s="23" t="s">
        <v>98</v>
      </c>
      <c r="I82" s="24">
        <v>20.776900000000001</v>
      </c>
    </row>
    <row r="83" spans="8:9" ht="15.75" thickBot="1" x14ac:dyDescent="0.3">
      <c r="H83" s="23" t="s">
        <v>99</v>
      </c>
      <c r="I83" s="24">
        <v>1.3473999999999999</v>
      </c>
    </row>
    <row r="84" spans="8:9" ht="15.75" thickBot="1" x14ac:dyDescent="0.3">
      <c r="H84" s="23" t="s">
        <v>100</v>
      </c>
      <c r="I84" s="24">
        <v>22.36345</v>
      </c>
    </row>
    <row r="85" spans="8:9" ht="15.75" thickBot="1" x14ac:dyDescent="0.3">
      <c r="H85" s="23" t="s">
        <v>10</v>
      </c>
      <c r="I85" s="24">
        <v>9.4179999999999993</v>
      </c>
    </row>
    <row r="86" spans="8:9" ht="15.75" thickBot="1" x14ac:dyDescent="0.3">
      <c r="H86" s="23" t="s">
        <v>101</v>
      </c>
      <c r="I86" s="24">
        <v>3328.0839999999998</v>
      </c>
    </row>
    <row r="87" spans="8:9" ht="15.75" thickBot="1" x14ac:dyDescent="0.3">
      <c r="H87" s="23" t="s">
        <v>13</v>
      </c>
      <c r="I87" s="24">
        <v>4.9485000000000001</v>
      </c>
    </row>
    <row r="88" spans="8:9" ht="15.75" thickBot="1" x14ac:dyDescent="0.3">
      <c r="H88" s="23" t="s">
        <v>102</v>
      </c>
      <c r="I88" s="24">
        <v>18.356850000000001</v>
      </c>
    </row>
    <row r="89" spans="8:9" ht="15.75" thickBot="1" x14ac:dyDescent="0.3">
      <c r="H89" s="23" t="s">
        <v>103</v>
      </c>
      <c r="I89" s="24">
        <v>2.2939500000000002</v>
      </c>
    </row>
    <row r="90" spans="8:9" ht="15.75" thickBot="1" x14ac:dyDescent="0.3">
      <c r="H90" s="23" t="s">
        <v>106</v>
      </c>
      <c r="I90" s="24">
        <v>22.36345</v>
      </c>
    </row>
    <row r="91" spans="8:9" ht="15.75" thickBot="1" x14ac:dyDescent="0.3">
      <c r="H91" s="23" t="s">
        <v>25</v>
      </c>
      <c r="I91" s="24">
        <v>441.84550000000002</v>
      </c>
    </row>
    <row r="92" spans="8:9" ht="15.75" thickBot="1" x14ac:dyDescent="0.3">
      <c r="H92" s="23" t="s">
        <v>104</v>
      </c>
      <c r="I92" s="24">
        <v>0.80535000000000001</v>
      </c>
    </row>
    <row r="93" spans="8:9" ht="15.75" thickBot="1" x14ac:dyDescent="0.3">
      <c r="H93" s="23" t="s">
        <v>105</v>
      </c>
      <c r="I93" s="24">
        <v>1952.1141500000001</v>
      </c>
    </row>
    <row r="94" spans="8:9" ht="15.75" thickBot="1" x14ac:dyDescent="0.3">
      <c r="H94" s="23" t="s">
        <v>12</v>
      </c>
      <c r="I94" s="24">
        <v>1.7312000000000001</v>
      </c>
    </row>
    <row r="95" spans="8:9" ht="15.75" thickBot="1" x14ac:dyDescent="0.3">
      <c r="H95" s="23" t="s">
        <v>109</v>
      </c>
      <c r="I95" s="24">
        <v>120.98475000000001</v>
      </c>
    </row>
    <row r="96" spans="8:9" ht="15.75" thickBot="1" x14ac:dyDescent="0.3">
      <c r="H96" s="23" t="s">
        <v>119</v>
      </c>
      <c r="I96" s="24">
        <v>2.4118499999999998</v>
      </c>
    </row>
    <row r="97" spans="8:9" ht="15.75" thickBot="1" x14ac:dyDescent="0.3">
      <c r="H97" s="23" t="s">
        <v>110</v>
      </c>
      <c r="I97" s="24">
        <v>2218.7611499999998</v>
      </c>
    </row>
    <row r="98" spans="8:9" ht="15.75" thickBot="1" x14ac:dyDescent="0.3">
      <c r="H98" s="23" t="s">
        <v>107</v>
      </c>
      <c r="I98" s="24">
        <v>46.225250000000003</v>
      </c>
    </row>
    <row r="99" spans="8:9" ht="15.75" thickBot="1" x14ac:dyDescent="0.3">
      <c r="H99" s="23" t="s">
        <v>108</v>
      </c>
      <c r="I99" s="24">
        <v>173.6799</v>
      </c>
    </row>
    <row r="100" spans="8:9" ht="15.75" thickBot="1" x14ac:dyDescent="0.3">
      <c r="H100" s="23" t="s">
        <v>111</v>
      </c>
      <c r="I100" s="24">
        <v>563.74310000000003</v>
      </c>
    </row>
    <row r="101" spans="8:9" ht="15.75" thickBot="1" x14ac:dyDescent="0.3">
      <c r="H101" s="23" t="s">
        <v>118</v>
      </c>
      <c r="I101" s="24">
        <v>5080.6823999999997</v>
      </c>
    </row>
    <row r="102" spans="8:9" ht="15.75" thickBot="1" x14ac:dyDescent="0.3">
      <c r="H102" s="23" t="s">
        <v>120</v>
      </c>
      <c r="I102" s="24">
        <v>0.49195</v>
      </c>
    </row>
    <row r="103" spans="8:9" ht="15.75" thickBot="1" x14ac:dyDescent="0.3">
      <c r="H103" s="23" t="s">
        <v>112</v>
      </c>
      <c r="I103" s="24">
        <v>15.767849999999999</v>
      </c>
    </row>
    <row r="104" spans="8:9" ht="15.75" thickBot="1" x14ac:dyDescent="0.3">
      <c r="H104" s="23" t="s">
        <v>16</v>
      </c>
      <c r="I104" s="24">
        <v>13.53125</v>
      </c>
    </row>
    <row r="105" spans="8:9" ht="15.75" thickBot="1" x14ac:dyDescent="0.3">
      <c r="H105" s="23" t="s">
        <v>113</v>
      </c>
      <c r="I105" s="24">
        <v>321.18650000000002</v>
      </c>
    </row>
    <row r="106" spans="8:9" ht="15.75" thickBot="1" x14ac:dyDescent="0.3">
      <c r="H106" s="23" t="s">
        <v>11</v>
      </c>
      <c r="I106" s="24">
        <v>2.01085</v>
      </c>
    </row>
    <row r="107" spans="8:9" ht="15.75" thickBot="1" x14ac:dyDescent="0.3">
      <c r="H107" s="23" t="s">
        <v>114</v>
      </c>
      <c r="I107" s="24">
        <v>35.623449999999998</v>
      </c>
    </row>
    <row r="108" spans="8:9" ht="15.75" thickBot="1" x14ac:dyDescent="0.3">
      <c r="H108" s="23" t="s">
        <v>115</v>
      </c>
      <c r="I108" s="24">
        <v>6054.5773499999996</v>
      </c>
    </row>
    <row r="109" spans="8:9" ht="15.75" thickBot="1" x14ac:dyDescent="0.3">
      <c r="H109" s="23" t="s">
        <v>116</v>
      </c>
      <c r="I109" s="24">
        <v>86.105699999999999</v>
      </c>
    </row>
    <row r="110" spans="8:9" ht="15.75" thickBot="1" x14ac:dyDescent="0.3">
      <c r="H110" s="23" t="s">
        <v>117</v>
      </c>
      <c r="I110" s="24">
        <v>3.8898999999999999</v>
      </c>
    </row>
    <row r="111" spans="8:9" ht="15.75" thickBot="1" x14ac:dyDescent="0.3">
      <c r="H111" s="23" t="s">
        <v>6</v>
      </c>
      <c r="I111" s="24">
        <v>1.8435999999999999</v>
      </c>
    </row>
    <row r="112" spans="8:9" ht="15.75" thickBot="1" x14ac:dyDescent="0.3">
      <c r="H112" s="23" t="s">
        <v>125</v>
      </c>
      <c r="I112" s="24">
        <v>1.7312000000000001</v>
      </c>
    </row>
    <row r="113" spans="8:9" ht="15.75" thickBot="1" x14ac:dyDescent="0.3">
      <c r="H113" s="23" t="s">
        <v>126</v>
      </c>
      <c r="I113" s="24">
        <v>209.39949999999999</v>
      </c>
    </row>
    <row r="114" spans="8:9" ht="15.75" thickBot="1" x14ac:dyDescent="0.3">
      <c r="H114" s="23" t="s">
        <v>7</v>
      </c>
      <c r="I114" s="24">
        <v>10.485300000000001</v>
      </c>
    </row>
    <row r="115" spans="8:9" ht="15.75" thickBot="1" x14ac:dyDescent="0.3">
      <c r="H115" s="23" t="s">
        <v>5</v>
      </c>
      <c r="I115" s="24">
        <v>210.64580000000001</v>
      </c>
    </row>
    <row r="116" spans="8:9" ht="15.75" thickBot="1" x14ac:dyDescent="0.3">
      <c r="H116" s="23" t="s">
        <v>27</v>
      </c>
      <c r="I116" s="24">
        <v>27.77075</v>
      </c>
    </row>
    <row r="117" spans="8:9" ht="15.75" thickBot="1" x14ac:dyDescent="0.3">
      <c r="H117" s="23" t="s">
        <v>127</v>
      </c>
      <c r="I117" s="24">
        <v>0.95350000000000001</v>
      </c>
    </row>
    <row r="118" spans="8:9" ht="15.75" thickBot="1" x14ac:dyDescent="0.3">
      <c r="H118" s="23" t="s">
        <v>129</v>
      </c>
      <c r="I118" s="24">
        <v>190.66079999999999</v>
      </c>
    </row>
    <row r="119" spans="8:9" ht="15.75" thickBot="1" x14ac:dyDescent="0.3">
      <c r="H119" s="23" t="s">
        <v>128</v>
      </c>
      <c r="I119" s="24">
        <v>22.36345</v>
      </c>
    </row>
    <row r="120" spans="8:9" ht="15.75" thickBot="1" x14ac:dyDescent="0.3">
      <c r="H120" s="23" t="s">
        <v>23</v>
      </c>
      <c r="I120" s="24">
        <v>5.4528999999999996</v>
      </c>
    </row>
    <row r="121" spans="8:9" ht="15.75" thickBot="1" x14ac:dyDescent="0.3">
      <c r="H121" s="23" t="s">
        <v>130</v>
      </c>
      <c r="I121" s="24">
        <v>193.57554999999999</v>
      </c>
    </row>
    <row r="122" spans="8:9" ht="15.75" thickBot="1" x14ac:dyDescent="0.3">
      <c r="H122" s="23" t="s">
        <v>131</v>
      </c>
      <c r="I122" s="24">
        <v>20.1203</v>
      </c>
    </row>
    <row r="123" spans="8:9" ht="15.75" thickBot="1" x14ac:dyDescent="0.3">
      <c r="H123" s="23" t="s">
        <v>132</v>
      </c>
      <c r="I123" s="24">
        <v>120659.68</v>
      </c>
    </row>
    <row r="124" spans="8:9" ht="15.75" thickBot="1" x14ac:dyDescent="0.3">
      <c r="H124" s="23" t="s">
        <v>14</v>
      </c>
      <c r="I124" s="24">
        <v>42.267949999999999</v>
      </c>
    </row>
    <row r="125" spans="8:9" ht="15.75" thickBot="1" x14ac:dyDescent="0.3">
      <c r="H125" s="23" t="s">
        <v>133</v>
      </c>
      <c r="I125" s="24">
        <v>1.3473999999999999</v>
      </c>
    </row>
    <row r="126" spans="8:9" ht="15.75" thickBot="1" x14ac:dyDescent="0.3">
      <c r="H126" s="23" t="s">
        <v>134</v>
      </c>
      <c r="I126" s="24">
        <v>174.51804999999999</v>
      </c>
    </row>
    <row r="127" spans="8:9" ht="15.75" thickBot="1" x14ac:dyDescent="0.3">
      <c r="H127" s="23" t="s">
        <v>135</v>
      </c>
      <c r="I127" s="24">
        <v>46.225250000000003</v>
      </c>
    </row>
    <row r="128" spans="8:9" ht="15.75" thickBot="1" x14ac:dyDescent="0.3">
      <c r="H128" s="23" t="s">
        <v>137</v>
      </c>
      <c r="I128" s="24">
        <v>2.2412000000000001</v>
      </c>
    </row>
    <row r="129" spans="8:9" ht="15.75" thickBot="1" x14ac:dyDescent="0.3">
      <c r="H129" s="23" t="s">
        <v>136</v>
      </c>
      <c r="I129" s="24">
        <v>7.5165499999999996</v>
      </c>
    </row>
    <row r="130" spans="8:9" ht="15.75" thickBot="1" x14ac:dyDescent="0.3">
      <c r="H130" s="23" t="s">
        <v>121</v>
      </c>
      <c r="I130" s="24">
        <v>2.5251999999999999</v>
      </c>
    </row>
    <row r="131" spans="8:9" ht="15.75" thickBot="1" x14ac:dyDescent="0.3">
      <c r="H131" s="23" t="s">
        <v>143</v>
      </c>
      <c r="I131" s="24">
        <v>214.19640000000001</v>
      </c>
    </row>
    <row r="132" spans="8:9" ht="15.75" thickBot="1" x14ac:dyDescent="0.3">
      <c r="H132" s="23" t="s">
        <v>122</v>
      </c>
      <c r="I132" s="24">
        <v>4.2805</v>
      </c>
    </row>
    <row r="133" spans="8:9" ht="15.75" thickBot="1" x14ac:dyDescent="0.3">
      <c r="H133" s="23" t="s">
        <v>138</v>
      </c>
      <c r="I133" s="24">
        <v>10.799849999999999</v>
      </c>
    </row>
    <row r="134" spans="8:9" ht="15.75" thickBot="1" x14ac:dyDescent="0.3">
      <c r="H134" s="23" t="s">
        <v>139</v>
      </c>
      <c r="I134" s="24">
        <v>57.043750000000003</v>
      </c>
    </row>
    <row r="135" spans="8:9" ht="15.75" thickBot="1" x14ac:dyDescent="0.3">
      <c r="H135" s="23" t="s">
        <v>140</v>
      </c>
      <c r="I135" s="24">
        <v>53.761249999999997</v>
      </c>
    </row>
    <row r="136" spans="8:9" ht="15.75" thickBot="1" x14ac:dyDescent="0.3">
      <c r="H136" s="23" t="s">
        <v>141</v>
      </c>
      <c r="I136" s="24">
        <v>49.3476</v>
      </c>
    </row>
    <row r="137" spans="8:9" ht="15.75" thickBot="1" x14ac:dyDescent="0.3">
      <c r="H137" s="23" t="s">
        <v>124</v>
      </c>
      <c r="I137" s="24">
        <v>1.3473999999999999</v>
      </c>
    </row>
    <row r="138" spans="8:9" ht="15.75" thickBot="1" x14ac:dyDescent="0.3">
      <c r="H138" s="23" t="s">
        <v>142</v>
      </c>
      <c r="I138" s="24">
        <v>4.8310000000000004</v>
      </c>
    </row>
    <row r="139" spans="8:9" ht="15.75" thickBot="1" x14ac:dyDescent="0.3">
      <c r="H139" s="23" t="s">
        <v>123</v>
      </c>
      <c r="I139" s="24">
        <v>5.0537999999999998</v>
      </c>
    </row>
    <row r="140" spans="8:9" ht="15.75" thickBot="1" x14ac:dyDescent="0.3">
      <c r="H140" s="23" t="s">
        <v>157</v>
      </c>
      <c r="I140" s="24">
        <v>3.95655</v>
      </c>
    </row>
    <row r="141" spans="8:9" ht="15.75" thickBot="1" x14ac:dyDescent="0.3">
      <c r="H141" s="23" t="s">
        <v>147</v>
      </c>
      <c r="I141" s="24">
        <v>11776.282999999999</v>
      </c>
    </row>
    <row r="142" spans="8:9" ht="15.75" thickBot="1" x14ac:dyDescent="0.3">
      <c r="H142" s="23" t="s">
        <v>148</v>
      </c>
      <c r="I142" s="24">
        <v>4.5316000000000001</v>
      </c>
    </row>
    <row r="143" spans="8:9" ht="15.75" thickBot="1" x14ac:dyDescent="0.3">
      <c r="H143" s="23" t="s">
        <v>149</v>
      </c>
      <c r="I143" s="24">
        <v>168.68100000000001</v>
      </c>
    </row>
    <row r="144" spans="8:9" ht="15.75" thickBot="1" x14ac:dyDescent="0.3">
      <c r="H144" s="23" t="s">
        <v>150</v>
      </c>
      <c r="I144" s="24">
        <v>3.7376</v>
      </c>
    </row>
    <row r="145" spans="8:10" ht="15.75" thickBot="1" x14ac:dyDescent="0.3">
      <c r="H145" s="23" t="s">
        <v>151</v>
      </c>
      <c r="I145" s="24">
        <v>164.78025</v>
      </c>
    </row>
    <row r="146" spans="8:10" ht="15.75" thickBot="1" x14ac:dyDescent="0.3">
      <c r="H146" s="23" t="s">
        <v>152</v>
      </c>
      <c r="I146" s="24">
        <v>10.32715</v>
      </c>
    </row>
    <row r="147" spans="8:10" ht="15.75" thickBot="1" x14ac:dyDescent="0.3">
      <c r="H147" s="23" t="s">
        <v>146</v>
      </c>
      <c r="I147" s="24">
        <v>2334.1970000000001</v>
      </c>
    </row>
    <row r="148" spans="8:10" ht="15.75" thickBot="1" x14ac:dyDescent="0.3">
      <c r="H148" s="23" t="s">
        <v>153</v>
      </c>
      <c r="I148" s="24">
        <v>5.7386999999999997</v>
      </c>
    </row>
    <row r="149" spans="8:10" ht="15.75" thickBot="1" x14ac:dyDescent="0.3">
      <c r="H149" s="23" t="s">
        <v>154</v>
      </c>
      <c r="I149" s="24">
        <v>99.707800000000006</v>
      </c>
    </row>
    <row r="150" spans="8:10" ht="15.75" thickBot="1" x14ac:dyDescent="0.3">
      <c r="H150" s="23" t="s">
        <v>145</v>
      </c>
      <c r="I150" s="24">
        <v>70.529700000000005</v>
      </c>
    </row>
    <row r="151" spans="8:10" ht="15.75" thickBot="1" x14ac:dyDescent="0.3">
      <c r="H151" s="23" t="s">
        <v>155</v>
      </c>
      <c r="I151" s="24">
        <v>62.061300000000003</v>
      </c>
    </row>
    <row r="152" spans="8:10" ht="15.75" thickBot="1" x14ac:dyDescent="0.3">
      <c r="H152" s="23" t="s">
        <v>156</v>
      </c>
      <c r="I152" s="24">
        <v>11.78975</v>
      </c>
    </row>
    <row r="153" spans="8:10" ht="15.75" thickBot="1" x14ac:dyDescent="0.3">
      <c r="H153" s="23" t="s">
        <v>144</v>
      </c>
      <c r="I153" s="24">
        <v>16202.92965</v>
      </c>
    </row>
    <row r="154" spans="8:10" ht="15.75" thickBot="1" x14ac:dyDescent="0.3">
      <c r="H154" s="23" t="s">
        <v>158</v>
      </c>
      <c r="I154" s="24">
        <v>4.9115000000000002</v>
      </c>
    </row>
    <row r="155" spans="8:10" ht="15.75" thickBot="1" x14ac:dyDescent="0.3">
      <c r="H155" s="30" t="s">
        <v>159</v>
      </c>
      <c r="I155" s="31">
        <v>305174.12105000002</v>
      </c>
      <c r="J155" s="26"/>
    </row>
    <row r="156" spans="8:10" x14ac:dyDescent="0.25">
      <c r="H156" s="27">
        <v>46024</v>
      </c>
      <c r="I156" s="28" t="s">
        <v>164</v>
      </c>
      <c r="J156" s="29">
        <v>0.44697915999999999</v>
      </c>
    </row>
    <row r="520" spans="1:6" ht="15.75" thickBot="1" x14ac:dyDescent="0.3">
      <c r="A520" s="5"/>
      <c r="B520" s="2"/>
      <c r="C520" s="3"/>
      <c r="D520" s="3"/>
      <c r="E520" s="3"/>
      <c r="F520" s="4"/>
    </row>
    <row r="521" spans="1:6" ht="15.75" thickBot="1" x14ac:dyDescent="0.3">
      <c r="A521" s="5"/>
      <c r="B521" s="2"/>
      <c r="C521" s="3"/>
      <c r="D521" s="3"/>
      <c r="E521" s="3"/>
      <c r="F521" s="4"/>
    </row>
    <row r="522" spans="1:6" ht="15.75" thickBot="1" x14ac:dyDescent="0.3">
      <c r="A522" s="5"/>
      <c r="B522" s="2"/>
      <c r="C522" s="3"/>
      <c r="D522" s="3"/>
      <c r="E522" s="3"/>
      <c r="F522" s="4"/>
    </row>
    <row r="523" spans="1:6" ht="15.75" thickBot="1" x14ac:dyDescent="0.3">
      <c r="A523" s="5"/>
      <c r="B523" s="2"/>
      <c r="C523" s="3"/>
      <c r="D523" s="3"/>
      <c r="E523" s="3"/>
      <c r="F523" s="4"/>
    </row>
    <row r="524" spans="1:6" ht="15.75" thickBot="1" x14ac:dyDescent="0.3">
      <c r="A524" s="5"/>
      <c r="B524" s="2"/>
      <c r="C524" s="3"/>
      <c r="D524" s="3"/>
      <c r="E524" s="3"/>
      <c r="F524" s="4"/>
    </row>
    <row r="525" spans="1:6" ht="15.75" thickBot="1" x14ac:dyDescent="0.3">
      <c r="A525" s="5"/>
      <c r="B525" s="2"/>
      <c r="C525" s="3"/>
      <c r="D525" s="3"/>
      <c r="E525" s="3"/>
      <c r="F525" s="4"/>
    </row>
    <row r="526" spans="1:6" ht="15.75" thickBot="1" x14ac:dyDescent="0.3">
      <c r="A526" s="5"/>
      <c r="B526" s="2"/>
      <c r="C526" s="3"/>
      <c r="D526" s="3"/>
      <c r="E526" s="3"/>
      <c r="F526" s="4"/>
    </row>
    <row r="527" spans="1:6" ht="15.75" thickBot="1" x14ac:dyDescent="0.3">
      <c r="A527" s="5"/>
      <c r="B527" s="2"/>
      <c r="C527" s="3"/>
      <c r="D527" s="3"/>
      <c r="E527" s="3"/>
      <c r="F527" s="4"/>
    </row>
    <row r="528" spans="1:6" ht="15.75" thickBot="1" x14ac:dyDescent="0.3">
      <c r="A528" s="5"/>
      <c r="B528" s="2"/>
      <c r="C528" s="3"/>
      <c r="D528" s="3"/>
      <c r="E528" s="3"/>
      <c r="F528" s="4"/>
    </row>
    <row r="529" spans="1:6" ht="15.75" thickBot="1" x14ac:dyDescent="0.3">
      <c r="A529" s="5"/>
      <c r="B529" s="2"/>
      <c r="C529" s="3"/>
      <c r="D529" s="3"/>
      <c r="E529" s="3"/>
      <c r="F529" s="4"/>
    </row>
    <row r="530" spans="1:6" ht="15.75" thickBot="1" x14ac:dyDescent="0.3">
      <c r="A530" s="5"/>
      <c r="B530" s="2"/>
      <c r="C530" s="3"/>
      <c r="D530" s="3"/>
      <c r="E530" s="3"/>
      <c r="F530" s="4"/>
    </row>
    <row r="531" spans="1:6" ht="15.75" thickBot="1" x14ac:dyDescent="0.3">
      <c r="A531" s="5"/>
      <c r="B531" s="2"/>
      <c r="C531" s="3"/>
      <c r="D531" s="3"/>
      <c r="E531" s="3"/>
      <c r="F531" s="4"/>
    </row>
    <row r="532" spans="1:6" ht="15.75" thickBot="1" x14ac:dyDescent="0.3">
      <c r="A532" s="5"/>
      <c r="B532" s="2"/>
      <c r="C532" s="3"/>
      <c r="D532" s="3"/>
      <c r="E532" s="3"/>
      <c r="F532" s="4"/>
    </row>
    <row r="533" spans="1:6" ht="15.75" thickBot="1" x14ac:dyDescent="0.3">
      <c r="A533" s="5"/>
      <c r="B533" s="2"/>
      <c r="C533" s="3"/>
      <c r="D533" s="3"/>
      <c r="E533" s="3"/>
      <c r="F533" s="4"/>
    </row>
    <row r="534" spans="1:6" ht="15.75" thickBot="1" x14ac:dyDescent="0.3">
      <c r="A534" s="5"/>
      <c r="B534" s="2"/>
      <c r="C534" s="3"/>
      <c r="D534" s="3"/>
      <c r="E534" s="3"/>
      <c r="F534" s="4"/>
    </row>
    <row r="535" spans="1:6" ht="15.75" thickBot="1" x14ac:dyDescent="0.3">
      <c r="A535" s="5"/>
      <c r="B535" s="2"/>
      <c r="C535" s="3"/>
      <c r="D535" s="3"/>
      <c r="E535" s="3"/>
      <c r="F535" s="4"/>
    </row>
    <row r="536" spans="1:6" ht="15.75" thickBot="1" x14ac:dyDescent="0.3">
      <c r="A536" s="5"/>
      <c r="B536" s="2"/>
      <c r="C536" s="3"/>
      <c r="D536" s="3"/>
      <c r="E536" s="3"/>
      <c r="F536" s="4"/>
    </row>
    <row r="537" spans="1:6" ht="15.75" thickBot="1" x14ac:dyDescent="0.3">
      <c r="A537" s="5"/>
      <c r="B537" s="2"/>
      <c r="C537" s="3"/>
      <c r="D537" s="3"/>
      <c r="E537" s="3"/>
      <c r="F537" s="4"/>
    </row>
    <row r="538" spans="1:6" ht="15.75" thickBot="1" x14ac:dyDescent="0.3">
      <c r="A538" s="5"/>
      <c r="B538" s="2"/>
      <c r="C538" s="3"/>
      <c r="D538" s="3"/>
      <c r="E538" s="3"/>
      <c r="F538" s="4"/>
    </row>
    <row r="539" spans="1:6" ht="15.75" thickBot="1" x14ac:dyDescent="0.3">
      <c r="A539" s="5"/>
      <c r="B539" s="2"/>
      <c r="C539" s="3"/>
      <c r="D539" s="3"/>
      <c r="E539" s="3"/>
      <c r="F539" s="4"/>
    </row>
    <row r="540" spans="1:6" ht="15.75" thickBot="1" x14ac:dyDescent="0.3">
      <c r="A540" s="5"/>
      <c r="B540" s="2"/>
      <c r="C540" s="3"/>
      <c r="D540" s="3"/>
      <c r="E540" s="3"/>
      <c r="F540" s="4"/>
    </row>
    <row r="541" spans="1:6" ht="15.75" thickBot="1" x14ac:dyDescent="0.3">
      <c r="A541" s="5"/>
      <c r="B541" s="2"/>
      <c r="C541" s="3"/>
      <c r="D541" s="3"/>
      <c r="E541" s="3"/>
      <c r="F541" s="4"/>
    </row>
    <row r="542" spans="1:6" ht="15.75" thickBot="1" x14ac:dyDescent="0.3">
      <c r="A542" s="5"/>
      <c r="B542" s="2"/>
      <c r="C542" s="3"/>
      <c r="D542" s="3"/>
      <c r="E542" s="3"/>
      <c r="F542" s="4"/>
    </row>
    <row r="543" spans="1:6" ht="15.75" thickBot="1" x14ac:dyDescent="0.3">
      <c r="A543" s="5"/>
      <c r="B543" s="2"/>
      <c r="C543" s="3"/>
      <c r="D543" s="3"/>
      <c r="E543" s="3"/>
      <c r="F543" s="4"/>
    </row>
    <row r="544" spans="1:6" ht="15.75" thickBot="1" x14ac:dyDescent="0.3">
      <c r="A544" s="5"/>
      <c r="B544" s="2"/>
      <c r="C544" s="3"/>
      <c r="D544" s="3"/>
      <c r="E544" s="3"/>
      <c r="F544" s="4"/>
    </row>
    <row r="545" spans="1:6" ht="15.75" thickBot="1" x14ac:dyDescent="0.3">
      <c r="A545" s="5"/>
      <c r="B545" s="2"/>
      <c r="C545" s="3"/>
      <c r="D545" s="3"/>
      <c r="E545" s="3"/>
      <c r="F545" s="4"/>
    </row>
    <row r="546" spans="1:6" ht="15.75" thickBot="1" x14ac:dyDescent="0.3">
      <c r="A546" s="5"/>
      <c r="B546" s="2"/>
      <c r="C546" s="3"/>
      <c r="D546" s="3"/>
      <c r="E546" s="3"/>
      <c r="F546" s="4"/>
    </row>
    <row r="547" spans="1:6" ht="15.75" thickBot="1" x14ac:dyDescent="0.3">
      <c r="A547" s="5"/>
      <c r="B547" s="2"/>
      <c r="C547" s="3"/>
      <c r="D547" s="3"/>
      <c r="E547" s="3"/>
      <c r="F547" s="4"/>
    </row>
    <row r="548" spans="1:6" ht="15.75" thickBot="1" x14ac:dyDescent="0.3">
      <c r="A548" s="5"/>
      <c r="B548" s="2"/>
      <c r="C548" s="3"/>
      <c r="D548" s="3"/>
      <c r="E548" s="3"/>
      <c r="F548" s="4"/>
    </row>
    <row r="549" spans="1:6" ht="15.75" thickBot="1" x14ac:dyDescent="0.3">
      <c r="A549" s="5"/>
      <c r="B549" s="2"/>
      <c r="C549" s="3"/>
      <c r="D549" s="3"/>
      <c r="E549" s="3"/>
      <c r="F549" s="4"/>
    </row>
    <row r="550" spans="1:6" ht="15.75" thickBot="1" x14ac:dyDescent="0.3">
      <c r="A550" s="5"/>
      <c r="B550" s="2"/>
      <c r="C550" s="3"/>
      <c r="D550" s="3"/>
      <c r="E550" s="3"/>
      <c r="F550" s="4"/>
    </row>
    <row r="551" spans="1:6" ht="15.75" thickBot="1" x14ac:dyDescent="0.3">
      <c r="A551" s="5"/>
      <c r="B551" s="2"/>
      <c r="C551" s="3"/>
      <c r="D551" s="3"/>
      <c r="E551" s="3"/>
      <c r="F551" s="4"/>
    </row>
    <row r="552" spans="1:6" ht="15.75" thickBot="1" x14ac:dyDescent="0.3">
      <c r="A552" s="5"/>
      <c r="B552" s="2"/>
      <c r="C552" s="3"/>
      <c r="D552" s="3"/>
      <c r="E552" s="3"/>
      <c r="F552" s="4"/>
    </row>
    <row r="553" spans="1:6" ht="15.75" thickBot="1" x14ac:dyDescent="0.3">
      <c r="A553" s="5"/>
      <c r="B553" s="2"/>
      <c r="C553" s="3"/>
      <c r="D553" s="3"/>
      <c r="E553" s="3"/>
      <c r="F553" s="4"/>
    </row>
    <row r="554" spans="1:6" ht="15.75" thickBot="1" x14ac:dyDescent="0.3">
      <c r="A554" s="5"/>
      <c r="B554" s="2"/>
      <c r="C554" s="3"/>
      <c r="D554" s="3"/>
      <c r="E554" s="3"/>
      <c r="F554" s="4"/>
    </row>
    <row r="555" spans="1:6" ht="15.75" thickBot="1" x14ac:dyDescent="0.3">
      <c r="A555" s="5"/>
      <c r="B555" s="2"/>
      <c r="C555" s="3"/>
      <c r="D555" s="3"/>
      <c r="E555" s="3"/>
      <c r="F555" s="4"/>
    </row>
    <row r="556" spans="1:6" ht="15.75" thickBot="1" x14ac:dyDescent="0.3">
      <c r="A556" s="5"/>
      <c r="B556" s="2"/>
      <c r="C556" s="3"/>
      <c r="D556" s="3"/>
      <c r="E556" s="3"/>
      <c r="F556" s="4"/>
    </row>
    <row r="557" spans="1:6" ht="15.75" thickBot="1" x14ac:dyDescent="0.3">
      <c r="A557" s="5"/>
      <c r="B557" s="2"/>
      <c r="C557" s="3"/>
      <c r="D557" s="3"/>
      <c r="E557" s="3"/>
      <c r="F557" s="4"/>
    </row>
    <row r="558" spans="1:6" ht="15.75" thickBot="1" x14ac:dyDescent="0.3">
      <c r="A558" s="5"/>
      <c r="B558" s="2"/>
      <c r="C558" s="3"/>
      <c r="D558" s="3"/>
      <c r="E558" s="3"/>
      <c r="F558" s="4"/>
    </row>
    <row r="559" spans="1:6" ht="15.75" thickBot="1" x14ac:dyDescent="0.3">
      <c r="A559" s="5"/>
      <c r="B559" s="2"/>
      <c r="C559" s="3"/>
      <c r="D559" s="3"/>
      <c r="E559" s="3"/>
      <c r="F559" s="4"/>
    </row>
    <row r="560" spans="1:6" ht="15.75" thickBot="1" x14ac:dyDescent="0.3">
      <c r="A560" s="5"/>
      <c r="B560" s="2"/>
      <c r="C560" s="3"/>
      <c r="D560" s="3"/>
      <c r="E560" s="3"/>
      <c r="F560" s="4"/>
    </row>
    <row r="561" spans="1:6" ht="15.75" thickBot="1" x14ac:dyDescent="0.3">
      <c r="A561" s="5"/>
      <c r="B561" s="2"/>
      <c r="C561" s="3"/>
      <c r="D561" s="3"/>
      <c r="E561" s="3"/>
      <c r="F561" s="4"/>
    </row>
    <row r="562" spans="1:6" ht="15.75" thickBot="1" x14ac:dyDescent="0.3">
      <c r="A562" s="5"/>
      <c r="B562" s="2"/>
      <c r="C562" s="3"/>
      <c r="D562" s="3"/>
      <c r="E562" s="3"/>
      <c r="F562" s="4"/>
    </row>
    <row r="563" spans="1:6" ht="15.75" thickBot="1" x14ac:dyDescent="0.3">
      <c r="A563" s="5"/>
      <c r="B563" s="2"/>
      <c r="C563" s="3"/>
      <c r="D563" s="3"/>
      <c r="E563" s="3"/>
      <c r="F563" s="4"/>
    </row>
    <row r="564" spans="1:6" ht="15.75" thickBot="1" x14ac:dyDescent="0.3">
      <c r="A564" s="5"/>
      <c r="B564" s="2"/>
      <c r="C564" s="3"/>
      <c r="D564" s="3"/>
      <c r="E564" s="3"/>
      <c r="F564" s="4"/>
    </row>
    <row r="565" spans="1:6" ht="15.75" thickBot="1" x14ac:dyDescent="0.3">
      <c r="A565" s="5"/>
      <c r="B565" s="2"/>
      <c r="C565" s="3"/>
      <c r="D565" s="3"/>
      <c r="E565" s="3"/>
      <c r="F565" s="4"/>
    </row>
    <row r="566" spans="1:6" ht="15.75" thickBot="1" x14ac:dyDescent="0.3">
      <c r="A566" s="5"/>
      <c r="B566" s="2"/>
      <c r="C566" s="3"/>
      <c r="D566" s="3"/>
      <c r="E566" s="3"/>
      <c r="F566" s="4"/>
    </row>
    <row r="567" spans="1:6" ht="15.75" thickBot="1" x14ac:dyDescent="0.3">
      <c r="A567" s="5"/>
      <c r="B567" s="2"/>
      <c r="C567" s="3"/>
      <c r="D567" s="3"/>
      <c r="E567" s="3"/>
      <c r="F567" s="4"/>
    </row>
    <row r="568" spans="1:6" ht="15.75" thickBot="1" x14ac:dyDescent="0.3">
      <c r="A568" s="5"/>
      <c r="B568" s="2"/>
      <c r="C568" s="3"/>
      <c r="D568" s="3"/>
      <c r="E568" s="3"/>
      <c r="F568" s="4"/>
    </row>
    <row r="569" spans="1:6" ht="15.75" thickBot="1" x14ac:dyDescent="0.3">
      <c r="A569" s="5"/>
      <c r="B569" s="2"/>
      <c r="C569" s="3"/>
      <c r="D569" s="3"/>
      <c r="E569" s="3"/>
      <c r="F569" s="4"/>
    </row>
    <row r="570" spans="1:6" ht="15.75" thickBot="1" x14ac:dyDescent="0.3">
      <c r="A570" s="5"/>
      <c r="B570" s="2"/>
      <c r="C570" s="3"/>
      <c r="D570" s="3"/>
      <c r="E570" s="3"/>
      <c r="F570" s="4"/>
    </row>
    <row r="571" spans="1:6" ht="15.75" thickBot="1" x14ac:dyDescent="0.3">
      <c r="A571" s="5"/>
      <c r="B571" s="2"/>
      <c r="C571" s="3"/>
      <c r="D571" s="3"/>
      <c r="E571" s="3"/>
      <c r="F571" s="4"/>
    </row>
    <row r="572" spans="1:6" ht="15.75" thickBot="1" x14ac:dyDescent="0.3">
      <c r="A572" s="5"/>
      <c r="B572" s="2"/>
      <c r="C572" s="3"/>
      <c r="D572" s="3"/>
      <c r="E572" s="3"/>
      <c r="F572" s="4"/>
    </row>
    <row r="573" spans="1:6" ht="15.75" thickBot="1" x14ac:dyDescent="0.3">
      <c r="A573" s="5"/>
      <c r="B573" s="2"/>
      <c r="C573" s="3"/>
      <c r="D573" s="3"/>
      <c r="E573" s="3"/>
      <c r="F573" s="4"/>
    </row>
    <row r="574" spans="1:6" ht="15.75" thickBot="1" x14ac:dyDescent="0.3">
      <c r="A574" s="5"/>
      <c r="B574" s="2"/>
      <c r="C574" s="3"/>
      <c r="D574" s="3"/>
      <c r="E574" s="3"/>
      <c r="F574" s="4"/>
    </row>
    <row r="575" spans="1:6" ht="15.75" thickBot="1" x14ac:dyDescent="0.3">
      <c r="A575" s="5"/>
      <c r="B575" s="2"/>
      <c r="C575" s="3"/>
      <c r="D575" s="3"/>
      <c r="E575" s="3"/>
      <c r="F575" s="4"/>
    </row>
    <row r="576" spans="1:6" ht="15.75" thickBot="1" x14ac:dyDescent="0.3">
      <c r="A576" s="5"/>
      <c r="B576" s="2"/>
      <c r="C576" s="3"/>
      <c r="D576" s="3"/>
      <c r="E576" s="3"/>
      <c r="F576" s="4"/>
    </row>
    <row r="577" spans="1:6" ht="15.75" thickBot="1" x14ac:dyDescent="0.3">
      <c r="A577" s="5"/>
      <c r="B577" s="2"/>
      <c r="C577" s="3"/>
      <c r="D577" s="3"/>
      <c r="E577" s="3"/>
      <c r="F577" s="4"/>
    </row>
    <row r="578" spans="1:6" ht="15.75" thickBot="1" x14ac:dyDescent="0.3">
      <c r="A578" s="5"/>
      <c r="B578" s="2"/>
      <c r="C578" s="3"/>
      <c r="D578" s="3"/>
      <c r="E578" s="3"/>
      <c r="F578" s="4"/>
    </row>
    <row r="579" spans="1:6" ht="15.75" thickBot="1" x14ac:dyDescent="0.3">
      <c r="A579" s="5"/>
      <c r="B579" s="2"/>
      <c r="C579" s="3"/>
      <c r="D579" s="3"/>
      <c r="E579" s="3"/>
      <c r="F579" s="4"/>
    </row>
    <row r="580" spans="1:6" ht="15.75" thickBot="1" x14ac:dyDescent="0.3">
      <c r="A580" s="5"/>
      <c r="B580" s="2"/>
      <c r="C580" s="3"/>
      <c r="D580" s="3"/>
      <c r="E580" s="3"/>
      <c r="F580" s="4"/>
    </row>
    <row r="581" spans="1:6" ht="15.75" thickBot="1" x14ac:dyDescent="0.3">
      <c r="A581" s="5"/>
      <c r="B581" s="2"/>
      <c r="C581" s="3"/>
      <c r="D581" s="3"/>
      <c r="E581" s="3"/>
      <c r="F581" s="4"/>
    </row>
    <row r="582" spans="1:6" ht="15.75" thickBot="1" x14ac:dyDescent="0.3">
      <c r="A582" s="5"/>
      <c r="B582" s="2"/>
      <c r="C582" s="3"/>
      <c r="D582" s="3"/>
      <c r="E582" s="3"/>
      <c r="F582" s="4"/>
    </row>
    <row r="583" spans="1:6" ht="15.75" thickBot="1" x14ac:dyDescent="0.3">
      <c r="A583" s="5"/>
      <c r="B583" s="2"/>
      <c r="C583" s="3"/>
      <c r="D583" s="3"/>
      <c r="E583" s="3"/>
      <c r="F583" s="4"/>
    </row>
    <row r="584" spans="1:6" ht="15.75" thickBot="1" x14ac:dyDescent="0.3">
      <c r="A584" s="5"/>
      <c r="B584" s="2"/>
      <c r="C584" s="3"/>
      <c r="D584" s="3"/>
      <c r="E584" s="3"/>
      <c r="F584" s="4"/>
    </row>
    <row r="585" spans="1:6" ht="15.75" thickBot="1" x14ac:dyDescent="0.3">
      <c r="A585" s="5"/>
      <c r="B585" s="2"/>
      <c r="C585" s="3"/>
      <c r="D585" s="3"/>
      <c r="E585" s="3"/>
      <c r="F585" s="4"/>
    </row>
    <row r="586" spans="1:6" ht="15.75" thickBot="1" x14ac:dyDescent="0.3">
      <c r="A586" s="5"/>
      <c r="B586" s="2"/>
      <c r="C586" s="3"/>
      <c r="D586" s="3"/>
      <c r="E586" s="3"/>
      <c r="F586" s="4"/>
    </row>
    <row r="587" spans="1:6" ht="15.75" thickBot="1" x14ac:dyDescent="0.3">
      <c r="A587" s="5"/>
      <c r="B587" s="2"/>
      <c r="C587" s="3"/>
      <c r="D587" s="3"/>
      <c r="E587" s="3"/>
      <c r="F587" s="4"/>
    </row>
    <row r="588" spans="1:6" ht="15.75" thickBot="1" x14ac:dyDescent="0.3">
      <c r="A588" s="5"/>
      <c r="B588" s="2"/>
      <c r="C588" s="3"/>
      <c r="D588" s="3"/>
      <c r="E588" s="3"/>
      <c r="F588" s="4"/>
    </row>
    <row r="589" spans="1:6" ht="15.75" thickBot="1" x14ac:dyDescent="0.3">
      <c r="A589" s="5"/>
      <c r="B589" s="2"/>
      <c r="C589" s="3"/>
      <c r="D589" s="3"/>
      <c r="E589" s="3"/>
      <c r="F589" s="4"/>
    </row>
    <row r="590" spans="1:6" ht="15.75" thickBot="1" x14ac:dyDescent="0.3">
      <c r="A590" s="5"/>
      <c r="B590" s="2"/>
      <c r="C590" s="3"/>
      <c r="D590" s="3"/>
      <c r="E590" s="3"/>
      <c r="F590" s="4"/>
    </row>
    <row r="591" spans="1:6" ht="15.75" thickBot="1" x14ac:dyDescent="0.3">
      <c r="A591" s="5"/>
      <c r="B591" s="2"/>
      <c r="C591" s="3"/>
      <c r="D591" s="3"/>
      <c r="E591" s="3"/>
      <c r="F591" s="4"/>
    </row>
    <row r="592" spans="1:6" ht="15.75" thickBot="1" x14ac:dyDescent="0.3">
      <c r="A592" s="5"/>
      <c r="B592" s="2"/>
      <c r="C592" s="3"/>
      <c r="D592" s="3"/>
      <c r="E592" s="3"/>
      <c r="F592" s="4"/>
    </row>
    <row r="593" spans="1:6" ht="15.75" thickBot="1" x14ac:dyDescent="0.3">
      <c r="A593" s="5"/>
      <c r="B593" s="2"/>
      <c r="C593" s="3"/>
      <c r="D593" s="3"/>
      <c r="E593" s="3"/>
      <c r="F593" s="4"/>
    </row>
    <row r="594" spans="1:6" ht="15.75" thickBot="1" x14ac:dyDescent="0.3">
      <c r="A594" s="5"/>
      <c r="B594" s="2"/>
      <c r="C594" s="3"/>
      <c r="D594" s="3"/>
      <c r="E594" s="3"/>
      <c r="F594" s="4"/>
    </row>
    <row r="595" spans="1:6" ht="15.75" thickBot="1" x14ac:dyDescent="0.3">
      <c r="A595" s="5"/>
      <c r="B595" s="2"/>
      <c r="C595" s="3"/>
      <c r="D595" s="3"/>
      <c r="E595" s="3"/>
      <c r="F595" s="4"/>
    </row>
    <row r="596" spans="1:6" ht="15.75" thickBot="1" x14ac:dyDescent="0.3">
      <c r="A596" s="5"/>
      <c r="B596" s="2"/>
      <c r="C596" s="3"/>
      <c r="D596" s="3"/>
      <c r="E596" s="3"/>
      <c r="F596" s="4"/>
    </row>
    <row r="597" spans="1:6" ht="15.75" thickBot="1" x14ac:dyDescent="0.3">
      <c r="A597" s="5"/>
      <c r="B597" s="2"/>
      <c r="C597" s="3"/>
      <c r="D597" s="3"/>
      <c r="E597" s="3"/>
      <c r="F597" s="4"/>
    </row>
    <row r="598" spans="1:6" ht="15.75" thickBot="1" x14ac:dyDescent="0.3">
      <c r="A598" s="5"/>
      <c r="B598" s="2"/>
      <c r="C598" s="3"/>
      <c r="D598" s="3"/>
      <c r="E598" s="3"/>
      <c r="F598" s="4"/>
    </row>
    <row r="599" spans="1:6" ht="15.75" thickBot="1" x14ac:dyDescent="0.3">
      <c r="A599" s="5"/>
      <c r="B599" s="2"/>
      <c r="C599" s="3"/>
      <c r="D599" s="3"/>
      <c r="E599" s="3"/>
      <c r="F599" s="4"/>
    </row>
    <row r="600" spans="1:6" ht="15.75" thickBot="1" x14ac:dyDescent="0.3">
      <c r="A600" s="5"/>
      <c r="B600" s="2"/>
      <c r="C600" s="3"/>
      <c r="D600" s="3"/>
      <c r="E600" s="3"/>
      <c r="F600" s="4"/>
    </row>
    <row r="601" spans="1:6" ht="15.75" thickBot="1" x14ac:dyDescent="0.3">
      <c r="A601" s="5"/>
      <c r="B601" s="2"/>
      <c r="C601" s="3"/>
      <c r="D601" s="3"/>
      <c r="E601" s="3"/>
      <c r="F601" s="4"/>
    </row>
    <row r="602" spans="1:6" ht="15.75" thickBot="1" x14ac:dyDescent="0.3">
      <c r="A602" s="5"/>
      <c r="B602" s="2"/>
      <c r="C602" s="3"/>
      <c r="D602" s="3"/>
      <c r="E602" s="3"/>
      <c r="F602" s="4"/>
    </row>
    <row r="603" spans="1:6" ht="15.75" thickBot="1" x14ac:dyDescent="0.3">
      <c r="A603" s="5"/>
      <c r="B603" s="2"/>
      <c r="C603" s="3"/>
      <c r="D603" s="3"/>
      <c r="E603" s="3"/>
      <c r="F603" s="4"/>
    </row>
    <row r="604" spans="1:6" ht="15.75" thickBot="1" x14ac:dyDescent="0.3">
      <c r="A604" s="5"/>
      <c r="B604" s="2"/>
      <c r="C604" s="3"/>
      <c r="D604" s="3"/>
      <c r="E604" s="3"/>
      <c r="F604" s="4"/>
    </row>
    <row r="605" spans="1:6" ht="15.75" thickBot="1" x14ac:dyDescent="0.3">
      <c r="A605" s="5"/>
      <c r="B605" s="2"/>
      <c r="C605" s="3"/>
      <c r="D605" s="3"/>
      <c r="E605" s="3"/>
      <c r="F605" s="4"/>
    </row>
    <row r="606" spans="1:6" ht="15.75" thickBot="1" x14ac:dyDescent="0.3">
      <c r="A606" s="5"/>
      <c r="B606" s="2"/>
      <c r="C606" s="3"/>
      <c r="D606" s="3"/>
      <c r="E606" s="3"/>
      <c r="F606" s="4"/>
    </row>
    <row r="607" spans="1:6" ht="15.75" thickBot="1" x14ac:dyDescent="0.3">
      <c r="A607" s="5"/>
      <c r="B607" s="2"/>
      <c r="C607" s="3"/>
      <c r="D607" s="3"/>
      <c r="E607" s="3"/>
      <c r="F607" s="4"/>
    </row>
    <row r="608" spans="1:6" ht="15.75" thickBot="1" x14ac:dyDescent="0.3">
      <c r="A608" s="5"/>
      <c r="B608" s="2"/>
      <c r="C608" s="3"/>
      <c r="D608" s="3"/>
      <c r="E608" s="3"/>
      <c r="F608" s="4"/>
    </row>
    <row r="609" spans="1:6" ht="15.75" thickBot="1" x14ac:dyDescent="0.3">
      <c r="A609" s="5"/>
      <c r="B609" s="2"/>
      <c r="C609" s="3"/>
      <c r="D609" s="3"/>
      <c r="E609" s="3"/>
      <c r="F609" s="4"/>
    </row>
    <row r="610" spans="1:6" ht="15.75" thickBot="1" x14ac:dyDescent="0.3">
      <c r="A610" s="5"/>
      <c r="B610" s="2"/>
      <c r="C610" s="3"/>
      <c r="D610" s="3"/>
      <c r="E610" s="3"/>
      <c r="F610" s="4"/>
    </row>
    <row r="611" spans="1:6" ht="15.75" thickBot="1" x14ac:dyDescent="0.3">
      <c r="A611" s="5"/>
      <c r="B611" s="2"/>
      <c r="C611" s="3"/>
      <c r="D611" s="3"/>
      <c r="E611" s="3"/>
      <c r="F611" s="4"/>
    </row>
    <row r="612" spans="1:6" ht="15.75" thickBot="1" x14ac:dyDescent="0.3">
      <c r="A612" s="5"/>
      <c r="B612" s="2"/>
      <c r="C612" s="3"/>
      <c r="D612" s="3"/>
      <c r="E612" s="3"/>
      <c r="F612" s="4"/>
    </row>
    <row r="613" spans="1:6" ht="15.75" thickBot="1" x14ac:dyDescent="0.3">
      <c r="A613" s="5"/>
      <c r="B613" s="2"/>
      <c r="C613" s="3"/>
      <c r="D613" s="3"/>
      <c r="E613" s="3"/>
      <c r="F613" s="4"/>
    </row>
    <row r="614" spans="1:6" ht="15.75" thickBot="1" x14ac:dyDescent="0.3">
      <c r="A614" s="5"/>
      <c r="B614" s="2"/>
      <c r="C614" s="3"/>
      <c r="D614" s="3"/>
      <c r="E614" s="3"/>
      <c r="F614" s="4"/>
    </row>
    <row r="615" spans="1:6" ht="15.75" thickBot="1" x14ac:dyDescent="0.3">
      <c r="A615" s="5"/>
      <c r="B615" s="2"/>
      <c r="C615" s="3"/>
      <c r="D615" s="3"/>
      <c r="E615" s="3"/>
      <c r="F615" s="4"/>
    </row>
    <row r="616" spans="1:6" ht="15.75" thickBot="1" x14ac:dyDescent="0.3">
      <c r="A616" s="5"/>
      <c r="B616" s="2"/>
      <c r="C616" s="3"/>
      <c r="D616" s="3"/>
      <c r="E616" s="3"/>
      <c r="F616" s="4"/>
    </row>
    <row r="617" spans="1:6" ht="15.75" thickBot="1" x14ac:dyDescent="0.3">
      <c r="A617" s="5"/>
      <c r="B617" s="2"/>
      <c r="C617" s="3"/>
      <c r="D617" s="3"/>
      <c r="E617" s="3"/>
      <c r="F617" s="4"/>
    </row>
    <row r="618" spans="1:6" ht="15.75" thickBot="1" x14ac:dyDescent="0.3">
      <c r="A618" s="5"/>
      <c r="B618" s="2"/>
      <c r="C618" s="3"/>
      <c r="D618" s="3"/>
      <c r="E618" s="3"/>
      <c r="F618" s="4"/>
    </row>
    <row r="619" spans="1:6" ht="15.75" thickBot="1" x14ac:dyDescent="0.3">
      <c r="A619" s="5"/>
      <c r="B619" s="2"/>
      <c r="C619" s="3"/>
      <c r="D619" s="3"/>
      <c r="E619" s="3"/>
      <c r="F619" s="4"/>
    </row>
    <row r="620" spans="1:6" ht="15.75" thickBot="1" x14ac:dyDescent="0.3">
      <c r="A620" s="5"/>
      <c r="B620" s="2"/>
      <c r="C620" s="3"/>
      <c r="D620" s="3"/>
      <c r="E620" s="3"/>
      <c r="F620" s="4"/>
    </row>
    <row r="621" spans="1:6" ht="15.75" thickBot="1" x14ac:dyDescent="0.3">
      <c r="A621" s="5"/>
      <c r="B621" s="2"/>
      <c r="C621" s="3"/>
      <c r="D621" s="3"/>
      <c r="E621" s="3"/>
      <c r="F621" s="4"/>
    </row>
    <row r="622" spans="1:6" ht="15.75" thickBot="1" x14ac:dyDescent="0.3">
      <c r="A622" s="5"/>
      <c r="B622" s="2"/>
      <c r="C622" s="3"/>
      <c r="D622" s="3"/>
      <c r="E622" s="3"/>
      <c r="F622" s="4"/>
    </row>
    <row r="623" spans="1:6" ht="15.75" thickBot="1" x14ac:dyDescent="0.3">
      <c r="A623" s="5"/>
      <c r="B623" s="2"/>
      <c r="C623" s="3"/>
      <c r="D623" s="3"/>
      <c r="E623" s="3"/>
      <c r="F623" s="4"/>
    </row>
    <row r="624" spans="1:6" ht="15.75" thickBot="1" x14ac:dyDescent="0.3">
      <c r="A624" s="5"/>
      <c r="B624" s="2"/>
      <c r="C624" s="3"/>
      <c r="D624" s="3"/>
      <c r="E624" s="3"/>
      <c r="F624" s="4"/>
    </row>
    <row r="625" spans="1:6" ht="15.75" thickBot="1" x14ac:dyDescent="0.3">
      <c r="A625" s="5"/>
      <c r="B625" s="2"/>
      <c r="C625" s="3"/>
      <c r="D625" s="3"/>
      <c r="E625" s="3"/>
      <c r="F625" s="4"/>
    </row>
    <row r="626" spans="1:6" ht="15.75" thickBot="1" x14ac:dyDescent="0.3">
      <c r="A626" s="5"/>
      <c r="B626" s="2"/>
      <c r="C626" s="3"/>
      <c r="D626" s="3"/>
      <c r="E626" s="3"/>
      <c r="F626" s="4"/>
    </row>
    <row r="627" spans="1:6" ht="15.75" thickBot="1" x14ac:dyDescent="0.3">
      <c r="A627" s="5"/>
      <c r="B627" s="2"/>
      <c r="C627" s="3"/>
      <c r="D627" s="3"/>
      <c r="E627" s="3"/>
      <c r="F627" s="4"/>
    </row>
    <row r="628" spans="1:6" ht="15.75" thickBot="1" x14ac:dyDescent="0.3">
      <c r="A628" s="5"/>
      <c r="B628" s="2"/>
      <c r="C628" s="3"/>
      <c r="D628" s="3"/>
      <c r="E628" s="3"/>
      <c r="F628" s="4"/>
    </row>
    <row r="629" spans="1:6" ht="15.75" thickBot="1" x14ac:dyDescent="0.3">
      <c r="A629" s="5"/>
      <c r="B629" s="2"/>
      <c r="C629" s="3"/>
      <c r="D629" s="3"/>
      <c r="E629" s="3"/>
      <c r="F629" s="4"/>
    </row>
    <row r="630" spans="1:6" ht="15.75" thickBot="1" x14ac:dyDescent="0.3">
      <c r="A630" s="5"/>
      <c r="B630" s="2"/>
      <c r="C630" s="3"/>
      <c r="D630" s="3"/>
      <c r="E630" s="3"/>
      <c r="F630" s="4"/>
    </row>
    <row r="631" spans="1:6" ht="15.75" thickBot="1" x14ac:dyDescent="0.3">
      <c r="A631" s="5"/>
      <c r="B631" s="2"/>
      <c r="C631" s="3"/>
      <c r="D631" s="3"/>
      <c r="E631" s="3"/>
      <c r="F631" s="4"/>
    </row>
    <row r="632" spans="1:6" ht="15.75" thickBot="1" x14ac:dyDescent="0.3">
      <c r="A632" s="5"/>
      <c r="B632" s="2"/>
      <c r="C632" s="3"/>
      <c r="D632" s="3"/>
      <c r="E632" s="3"/>
      <c r="F632" s="4"/>
    </row>
    <row r="633" spans="1:6" ht="15.75" thickBot="1" x14ac:dyDescent="0.3">
      <c r="A633" s="5"/>
      <c r="B633" s="2"/>
      <c r="C633" s="3"/>
      <c r="D633" s="3"/>
      <c r="E633" s="3"/>
      <c r="F633" s="4"/>
    </row>
    <row r="634" spans="1:6" ht="15.75" thickBot="1" x14ac:dyDescent="0.3">
      <c r="A634" s="5"/>
      <c r="B634" s="2"/>
      <c r="C634" s="3"/>
      <c r="D634" s="3"/>
      <c r="E634" s="3"/>
      <c r="F634" s="4"/>
    </row>
    <row r="635" spans="1:6" ht="15.75" thickBot="1" x14ac:dyDescent="0.3">
      <c r="A635" s="5"/>
      <c r="B635" s="2"/>
      <c r="C635" s="3"/>
      <c r="D635" s="3"/>
      <c r="E635" s="3"/>
      <c r="F635" s="4"/>
    </row>
    <row r="636" spans="1:6" ht="15.75" thickBot="1" x14ac:dyDescent="0.3">
      <c r="A636" s="5"/>
      <c r="B636" s="2"/>
      <c r="C636" s="3"/>
      <c r="D636" s="3"/>
      <c r="E636" s="3"/>
      <c r="F636" s="4"/>
    </row>
    <row r="637" spans="1:6" ht="15.75" thickBot="1" x14ac:dyDescent="0.3">
      <c r="A637" s="5"/>
      <c r="B637" s="2"/>
      <c r="C637" s="3"/>
      <c r="D637" s="3"/>
      <c r="E637" s="3"/>
      <c r="F637" s="4"/>
    </row>
    <row r="638" spans="1:6" ht="15.75" thickBot="1" x14ac:dyDescent="0.3">
      <c r="A638" s="5"/>
      <c r="B638" s="2"/>
      <c r="C638" s="3"/>
      <c r="D638" s="3"/>
      <c r="E638" s="3"/>
      <c r="F638" s="4"/>
    </row>
    <row r="639" spans="1:6" ht="15.75" thickBot="1" x14ac:dyDescent="0.3">
      <c r="A639" s="5"/>
      <c r="B639" s="2"/>
      <c r="C639" s="3"/>
      <c r="D639" s="3"/>
      <c r="E639" s="3"/>
      <c r="F639" s="4"/>
    </row>
    <row r="640" spans="1:6" ht="15.75" thickBot="1" x14ac:dyDescent="0.3">
      <c r="A640" s="5"/>
      <c r="B640" s="2"/>
      <c r="C640" s="3"/>
      <c r="D640" s="3"/>
      <c r="E640" s="3"/>
      <c r="F640" s="4"/>
    </row>
    <row r="641" spans="1:6" ht="15.75" thickBot="1" x14ac:dyDescent="0.3">
      <c r="A641" s="5"/>
      <c r="B641" s="2"/>
      <c r="C641" s="3"/>
      <c r="D641" s="3"/>
      <c r="E641" s="3"/>
      <c r="F641" s="4"/>
    </row>
    <row r="642" spans="1:6" ht="15.75" thickBot="1" x14ac:dyDescent="0.3">
      <c r="A642" s="5"/>
      <c r="B642" s="2"/>
      <c r="C642" s="3"/>
      <c r="D642" s="3"/>
      <c r="E642" s="3"/>
      <c r="F642" s="4"/>
    </row>
    <row r="643" spans="1:6" ht="15.75" thickBot="1" x14ac:dyDescent="0.3">
      <c r="A643" s="5"/>
      <c r="B643" s="2"/>
      <c r="C643" s="3"/>
      <c r="D643" s="3"/>
      <c r="E643" s="3"/>
      <c r="F643" s="4"/>
    </row>
    <row r="644" spans="1:6" ht="15.75" thickBot="1" x14ac:dyDescent="0.3">
      <c r="A644" s="5"/>
      <c r="B644" s="2"/>
      <c r="C644" s="3"/>
      <c r="D644" s="3"/>
      <c r="E644" s="3"/>
      <c r="F644" s="4"/>
    </row>
    <row r="645" spans="1:6" ht="15.75" thickBot="1" x14ac:dyDescent="0.3">
      <c r="A645" s="5"/>
      <c r="B645" s="2"/>
      <c r="C645" s="3"/>
      <c r="D645" s="3"/>
      <c r="E645" s="3"/>
      <c r="F645" s="4"/>
    </row>
    <row r="646" spans="1:6" ht="15.75" thickBot="1" x14ac:dyDescent="0.3">
      <c r="A646" s="5"/>
      <c r="B646" s="2"/>
      <c r="C646" s="3"/>
      <c r="D646" s="3"/>
      <c r="E646" s="3"/>
      <c r="F646" s="4"/>
    </row>
    <row r="647" spans="1:6" ht="15.75" thickBot="1" x14ac:dyDescent="0.3">
      <c r="A647" s="5"/>
      <c r="B647" s="2"/>
      <c r="C647" s="3"/>
      <c r="D647" s="3"/>
      <c r="E647" s="3"/>
      <c r="F647" s="4"/>
    </row>
    <row r="648" spans="1:6" ht="15.75" thickBot="1" x14ac:dyDescent="0.3">
      <c r="A648" s="5"/>
      <c r="B648" s="2"/>
      <c r="C648" s="3"/>
      <c r="D648" s="3"/>
      <c r="E648" s="3"/>
      <c r="F648" s="4"/>
    </row>
    <row r="649" spans="1:6" ht="15.75" thickBot="1" x14ac:dyDescent="0.3">
      <c r="A649" s="5"/>
      <c r="B649" s="2"/>
      <c r="C649" s="3"/>
      <c r="D649" s="3"/>
      <c r="E649" s="3"/>
      <c r="F649" s="4"/>
    </row>
    <row r="650" spans="1:6" ht="15.75" thickBot="1" x14ac:dyDescent="0.3">
      <c r="A650" s="5"/>
      <c r="B650" s="2"/>
      <c r="C650" s="3"/>
      <c r="D650" s="3"/>
      <c r="E650" s="3"/>
      <c r="F650" s="4"/>
    </row>
    <row r="651" spans="1:6" ht="15.75" thickBot="1" x14ac:dyDescent="0.3">
      <c r="A651" s="5"/>
      <c r="B651" s="2"/>
      <c r="C651" s="3"/>
      <c r="D651" s="3"/>
      <c r="E651" s="3"/>
      <c r="F651" s="4"/>
    </row>
    <row r="652" spans="1:6" ht="15.75" thickBot="1" x14ac:dyDescent="0.3">
      <c r="A652" s="5"/>
      <c r="B652" s="2"/>
      <c r="C652" s="3"/>
      <c r="D652" s="3"/>
      <c r="E652" s="3"/>
      <c r="F652" s="4"/>
    </row>
    <row r="653" spans="1:6" ht="15.75" thickBot="1" x14ac:dyDescent="0.3">
      <c r="A653" s="5"/>
      <c r="B653" s="2"/>
      <c r="C653" s="3"/>
      <c r="D653" s="3"/>
      <c r="E653" s="3"/>
      <c r="F653" s="4"/>
    </row>
    <row r="654" spans="1:6" ht="15.75" thickBot="1" x14ac:dyDescent="0.3">
      <c r="A654" s="5"/>
      <c r="B654" s="2"/>
      <c r="C654" s="3"/>
      <c r="D654" s="3"/>
      <c r="E654" s="3"/>
      <c r="F654" s="4"/>
    </row>
    <row r="655" spans="1:6" ht="15.75" thickBot="1" x14ac:dyDescent="0.3">
      <c r="A655" s="5"/>
      <c r="B655" s="2"/>
      <c r="C655" s="3"/>
      <c r="D655" s="3"/>
      <c r="E655" s="3"/>
      <c r="F655" s="4"/>
    </row>
    <row r="656" spans="1:6" ht="15.75" thickBot="1" x14ac:dyDescent="0.3">
      <c r="A656" s="5"/>
      <c r="B656" s="2"/>
      <c r="C656" s="3"/>
      <c r="D656" s="3"/>
      <c r="E656" s="3"/>
      <c r="F656" s="4"/>
    </row>
    <row r="657" spans="1:6" ht="15.75" thickBot="1" x14ac:dyDescent="0.3">
      <c r="A657" s="5"/>
      <c r="B657" s="2"/>
      <c r="C657" s="3"/>
      <c r="D657" s="3"/>
      <c r="E657" s="3"/>
      <c r="F657" s="4"/>
    </row>
    <row r="658" spans="1:6" ht="15.75" thickBot="1" x14ac:dyDescent="0.3">
      <c r="A658" s="5"/>
      <c r="B658" s="2"/>
      <c r="C658" s="3"/>
      <c r="D658" s="3"/>
      <c r="E658" s="3"/>
      <c r="F658" s="4"/>
    </row>
    <row r="659" spans="1:6" ht="15.75" thickBot="1" x14ac:dyDescent="0.3">
      <c r="A659" s="5"/>
      <c r="B659" s="2"/>
      <c r="C659" s="3"/>
      <c r="D659" s="3"/>
      <c r="E659" s="3"/>
      <c r="F659" s="4"/>
    </row>
    <row r="660" spans="1:6" ht="15.75" thickBot="1" x14ac:dyDescent="0.3">
      <c r="A660" s="5"/>
      <c r="B660" s="2"/>
      <c r="C660" s="3"/>
      <c r="D660" s="3"/>
      <c r="E660" s="3"/>
      <c r="F660" s="4"/>
    </row>
    <row r="661" spans="1:6" ht="15.75" thickBot="1" x14ac:dyDescent="0.3">
      <c r="A661" s="5"/>
      <c r="B661" s="2"/>
      <c r="C661" s="3"/>
      <c r="D661" s="3"/>
      <c r="E661" s="3"/>
      <c r="F661" s="4"/>
    </row>
    <row r="662" spans="1:6" ht="15.75" thickBot="1" x14ac:dyDescent="0.3">
      <c r="A662" s="5"/>
      <c r="B662" s="2"/>
      <c r="C662" s="3"/>
      <c r="D662" s="3"/>
      <c r="E662" s="3"/>
      <c r="F662" s="4"/>
    </row>
    <row r="663" spans="1:6" ht="15.75" thickBot="1" x14ac:dyDescent="0.3">
      <c r="A663" s="5"/>
      <c r="B663" s="2"/>
      <c r="C663" s="3"/>
      <c r="D663" s="3"/>
      <c r="E663" s="3"/>
      <c r="F663" s="4"/>
    </row>
    <row r="664" spans="1:6" ht="15.75" thickBot="1" x14ac:dyDescent="0.3">
      <c r="A664" s="5"/>
      <c r="B664" s="2"/>
      <c r="C664" s="3"/>
      <c r="D664" s="3"/>
      <c r="E664" s="3"/>
      <c r="F664" s="4"/>
    </row>
    <row r="665" spans="1:6" ht="15.75" thickBot="1" x14ac:dyDescent="0.3">
      <c r="A665" s="5"/>
      <c r="B665" s="2"/>
      <c r="C665" s="3"/>
      <c r="D665" s="3"/>
      <c r="E665" s="3"/>
      <c r="F665" s="4"/>
    </row>
    <row r="666" spans="1:6" ht="15.75" thickBot="1" x14ac:dyDescent="0.3">
      <c r="A666" s="5"/>
      <c r="B666" s="2"/>
      <c r="C666" s="3"/>
      <c r="D666" s="3"/>
      <c r="E666" s="3"/>
      <c r="F666" s="4"/>
    </row>
    <row r="667" spans="1:6" ht="15.75" thickBot="1" x14ac:dyDescent="0.3">
      <c r="A667" s="5"/>
      <c r="B667" s="2"/>
      <c r="C667" s="3"/>
      <c r="D667" s="3"/>
      <c r="E667" s="3"/>
      <c r="F667" s="4"/>
    </row>
    <row r="668" spans="1:6" ht="15.75" thickBot="1" x14ac:dyDescent="0.3">
      <c r="A668" s="5"/>
      <c r="B668" s="2"/>
      <c r="C668" s="3"/>
      <c r="D668" s="3"/>
      <c r="E668" s="3"/>
      <c r="F668" s="4"/>
    </row>
    <row r="669" spans="1:6" ht="15.75" thickBot="1" x14ac:dyDescent="0.3">
      <c r="A669" s="5"/>
      <c r="B669" s="2"/>
      <c r="C669" s="3"/>
      <c r="D669" s="3"/>
      <c r="E669" s="3"/>
      <c r="F669" s="4"/>
    </row>
    <row r="670" spans="1:6" ht="15.75" thickBot="1" x14ac:dyDescent="0.3">
      <c r="A670" s="5"/>
      <c r="B670" s="2"/>
      <c r="C670" s="3"/>
      <c r="D670" s="3"/>
      <c r="E670" s="3"/>
      <c r="F670" s="4"/>
    </row>
    <row r="671" spans="1:6" ht="15.75" thickBot="1" x14ac:dyDescent="0.3">
      <c r="A671" s="5"/>
      <c r="B671" s="2"/>
      <c r="C671" s="3"/>
      <c r="D671" s="3"/>
      <c r="E671" s="3"/>
      <c r="F671" s="4"/>
    </row>
    <row r="672" spans="1:6" ht="15.75" thickBot="1" x14ac:dyDescent="0.3">
      <c r="A672" s="5"/>
      <c r="B672" s="2"/>
      <c r="C672" s="3"/>
      <c r="D672" s="3"/>
      <c r="E672" s="3"/>
      <c r="F672" s="4"/>
    </row>
    <row r="673" spans="1:6" ht="15.75" thickBot="1" x14ac:dyDescent="0.3">
      <c r="A673" s="5"/>
      <c r="B673" s="2"/>
      <c r="C673" s="3"/>
      <c r="D673" s="3"/>
      <c r="E673" s="3"/>
      <c r="F673" s="4"/>
    </row>
    <row r="674" spans="1:6" ht="15.75" thickBot="1" x14ac:dyDescent="0.3">
      <c r="A674" s="5"/>
      <c r="B674" s="2"/>
      <c r="C674" s="3"/>
      <c r="D674" s="3"/>
      <c r="E674" s="3"/>
      <c r="F674" s="4"/>
    </row>
    <row r="675" spans="1:6" ht="15.75" thickBot="1" x14ac:dyDescent="0.3">
      <c r="A675" s="5"/>
      <c r="B675" s="2"/>
      <c r="C675" s="3"/>
      <c r="D675" s="3"/>
      <c r="E675" s="3"/>
      <c r="F675" s="4"/>
    </row>
    <row r="676" spans="1:6" ht="15.75" thickBot="1" x14ac:dyDescent="0.3">
      <c r="A676" s="5"/>
      <c r="B676" s="2"/>
      <c r="C676" s="3"/>
      <c r="D676" s="3"/>
      <c r="E676" s="3"/>
      <c r="F676" s="4"/>
    </row>
    <row r="677" spans="1:6" ht="15.75" thickBot="1" x14ac:dyDescent="0.3">
      <c r="A677" s="5"/>
      <c r="B677" s="2"/>
      <c r="C677" s="3"/>
      <c r="D677" s="3"/>
      <c r="E677" s="3"/>
      <c r="F677" s="4"/>
    </row>
    <row r="678" spans="1:6" ht="15.75" thickBot="1" x14ac:dyDescent="0.3">
      <c r="A678" s="5"/>
      <c r="B678" s="2"/>
      <c r="C678" s="3"/>
      <c r="D678" s="3"/>
      <c r="E678" s="3"/>
      <c r="F678" s="4"/>
    </row>
    <row r="679" spans="1:6" ht="15.75" thickBot="1" x14ac:dyDescent="0.3">
      <c r="A679" s="5"/>
      <c r="B679" s="2"/>
      <c r="C679" s="3"/>
      <c r="D679" s="3"/>
      <c r="E679" s="3"/>
      <c r="F679" s="4"/>
    </row>
    <row r="680" spans="1:6" ht="15.75" thickBot="1" x14ac:dyDescent="0.3">
      <c r="A680" s="5"/>
      <c r="B680" s="2"/>
      <c r="C680" s="3"/>
      <c r="D680" s="3"/>
      <c r="E680" s="3"/>
      <c r="F680" s="4"/>
    </row>
    <row r="681" spans="1:6" ht="15.75" thickBot="1" x14ac:dyDescent="0.3">
      <c r="A681" s="5"/>
      <c r="B681" s="2"/>
      <c r="C681" s="3"/>
      <c r="D681" s="3"/>
      <c r="E681" s="3"/>
      <c r="F681" s="4"/>
    </row>
    <row r="682" spans="1:6" ht="15.75" thickBot="1" x14ac:dyDescent="0.3">
      <c r="A682" s="5"/>
      <c r="B682" s="2"/>
      <c r="C682" s="3"/>
      <c r="D682" s="3"/>
      <c r="E682" s="3"/>
      <c r="F682" s="4"/>
    </row>
    <row r="683" spans="1:6" ht="15.75" thickBot="1" x14ac:dyDescent="0.3">
      <c r="A683" s="5"/>
      <c r="B683" s="2"/>
      <c r="C683" s="3"/>
      <c r="D683" s="3"/>
      <c r="E683" s="3"/>
      <c r="F683" s="4"/>
    </row>
    <row r="684" spans="1:6" ht="15.75" thickBot="1" x14ac:dyDescent="0.3">
      <c r="A684" s="5"/>
      <c r="B684" s="2"/>
      <c r="C684" s="3"/>
      <c r="D684" s="3"/>
      <c r="E684" s="3"/>
      <c r="F684" s="4"/>
    </row>
    <row r="685" spans="1:6" ht="15.75" thickBot="1" x14ac:dyDescent="0.3">
      <c r="A685" s="5"/>
      <c r="B685" s="2"/>
      <c r="C685" s="3"/>
      <c r="D685" s="3"/>
      <c r="E685" s="3"/>
      <c r="F685" s="4"/>
    </row>
    <row r="686" spans="1:6" ht="15.75" thickBot="1" x14ac:dyDescent="0.3">
      <c r="A686" s="5"/>
      <c r="B686" s="2"/>
      <c r="C686" s="3"/>
      <c r="D686" s="3"/>
      <c r="E686" s="3"/>
      <c r="F686" s="4"/>
    </row>
    <row r="687" spans="1:6" ht="15.75" thickBot="1" x14ac:dyDescent="0.3">
      <c r="A687" s="5"/>
      <c r="B687" s="2"/>
      <c r="C687" s="3"/>
      <c r="D687" s="3"/>
      <c r="E687" s="3"/>
      <c r="F687" s="4"/>
    </row>
    <row r="688" spans="1:6" ht="15.75" thickBot="1" x14ac:dyDescent="0.3">
      <c r="A688" s="5"/>
      <c r="B688" s="2"/>
      <c r="C688" s="3"/>
      <c r="D688" s="3"/>
      <c r="E688" s="3"/>
      <c r="F688" s="4"/>
    </row>
    <row r="689" spans="1:6" ht="15.75" thickBot="1" x14ac:dyDescent="0.3">
      <c r="A689" s="5"/>
      <c r="B689" s="2"/>
      <c r="C689" s="3"/>
      <c r="D689" s="3"/>
      <c r="E689" s="3"/>
      <c r="F689" s="4"/>
    </row>
    <row r="690" spans="1:6" ht="15.75" thickBot="1" x14ac:dyDescent="0.3">
      <c r="A690" s="5"/>
      <c r="B690" s="2"/>
      <c r="C690" s="3"/>
      <c r="D690" s="3"/>
      <c r="E690" s="3"/>
      <c r="F690" s="4"/>
    </row>
    <row r="691" spans="1:6" ht="15.75" thickBot="1" x14ac:dyDescent="0.3">
      <c r="A691" s="5"/>
      <c r="B691" s="2"/>
      <c r="C691" s="3"/>
      <c r="D691" s="3"/>
      <c r="E691" s="3"/>
      <c r="F691" s="4"/>
    </row>
    <row r="692" spans="1:6" ht="15.75" thickBot="1" x14ac:dyDescent="0.3">
      <c r="A692" s="5"/>
      <c r="B692" s="2"/>
      <c r="C692" s="3"/>
      <c r="D692" s="3"/>
      <c r="E692" s="3"/>
      <c r="F692" s="4"/>
    </row>
    <row r="693" spans="1:6" ht="15.75" thickBot="1" x14ac:dyDescent="0.3">
      <c r="A693" s="5"/>
      <c r="B693" s="2"/>
      <c r="C693" s="3"/>
      <c r="D693" s="3"/>
      <c r="E693" s="3"/>
      <c r="F693" s="4"/>
    </row>
    <row r="694" spans="1:6" ht="15.75" thickBot="1" x14ac:dyDescent="0.3">
      <c r="A694" s="5"/>
      <c r="B694" s="2"/>
      <c r="C694" s="3"/>
      <c r="D694" s="3"/>
      <c r="E694" s="3"/>
      <c r="F694" s="4"/>
    </row>
    <row r="695" spans="1:6" ht="15.75" thickBot="1" x14ac:dyDescent="0.3">
      <c r="A695" s="5"/>
      <c r="B695" s="2"/>
      <c r="C695" s="3"/>
      <c r="D695" s="3"/>
      <c r="E695" s="3"/>
      <c r="F695" s="4"/>
    </row>
    <row r="696" spans="1:6" ht="15.75" thickBot="1" x14ac:dyDescent="0.3">
      <c r="A696" s="5"/>
      <c r="B696" s="2"/>
      <c r="C696" s="3"/>
      <c r="D696" s="3"/>
      <c r="E696" s="3"/>
      <c r="F696" s="4"/>
    </row>
    <row r="697" spans="1:6" ht="15.75" thickBot="1" x14ac:dyDescent="0.3">
      <c r="A697" s="5"/>
      <c r="B697" s="2"/>
      <c r="C697" s="3"/>
      <c r="D697" s="3"/>
      <c r="E697" s="3"/>
      <c r="F697" s="4"/>
    </row>
    <row r="698" spans="1:6" ht="15.75" thickBot="1" x14ac:dyDescent="0.3">
      <c r="A698" s="5"/>
      <c r="B698" s="2"/>
      <c r="C698" s="3"/>
      <c r="D698" s="3"/>
      <c r="E698" s="3"/>
      <c r="F698" s="4"/>
    </row>
    <row r="699" spans="1:6" ht="15.75" thickBot="1" x14ac:dyDescent="0.3">
      <c r="A699" s="5"/>
      <c r="B699" s="2"/>
      <c r="C699" s="3"/>
      <c r="D699" s="3"/>
      <c r="E699" s="3"/>
      <c r="F699" s="4"/>
    </row>
    <row r="700" spans="1:6" ht="15.75" thickBot="1" x14ac:dyDescent="0.3">
      <c r="A700" s="5"/>
      <c r="B700" s="2"/>
      <c r="C700" s="3"/>
      <c r="D700" s="3"/>
      <c r="E700" s="3"/>
      <c r="F700" s="4"/>
    </row>
    <row r="701" spans="1:6" ht="15.75" thickBot="1" x14ac:dyDescent="0.3">
      <c r="A701" s="5"/>
      <c r="B701" s="2"/>
      <c r="C701" s="3"/>
      <c r="D701" s="3"/>
      <c r="E701" s="3"/>
      <c r="F701" s="4"/>
    </row>
    <row r="702" spans="1:6" ht="15.75" thickBot="1" x14ac:dyDescent="0.3">
      <c r="A702" s="5"/>
      <c r="B702" s="2"/>
      <c r="C702" s="3"/>
      <c r="D702" s="3"/>
      <c r="E702" s="3"/>
      <c r="F702" s="4"/>
    </row>
    <row r="703" spans="1:6" ht="15.75" thickBot="1" x14ac:dyDescent="0.3">
      <c r="A703" s="5"/>
      <c r="B703" s="2"/>
      <c r="C703" s="3"/>
      <c r="D703" s="3"/>
      <c r="E703" s="3"/>
      <c r="F703" s="4"/>
    </row>
    <row r="704" spans="1:6" ht="15.75" thickBot="1" x14ac:dyDescent="0.3">
      <c r="A704" s="5"/>
      <c r="B704" s="2"/>
      <c r="C704" s="3"/>
      <c r="D704" s="3"/>
      <c r="E704" s="3"/>
      <c r="F704" s="4"/>
    </row>
    <row r="705" spans="1:6" ht="15.75" thickBot="1" x14ac:dyDescent="0.3">
      <c r="A705" s="5"/>
      <c r="B705" s="2"/>
      <c r="C705" s="3"/>
      <c r="D705" s="3"/>
      <c r="E705" s="3"/>
      <c r="F705" s="4"/>
    </row>
    <row r="706" spans="1:6" ht="15.75" thickBot="1" x14ac:dyDescent="0.3">
      <c r="A706" s="5"/>
      <c r="B706" s="2"/>
      <c r="C706" s="3"/>
      <c r="D706" s="3"/>
      <c r="E706" s="3"/>
      <c r="F706" s="4"/>
    </row>
    <row r="707" spans="1:6" ht="15.75" thickBot="1" x14ac:dyDescent="0.3">
      <c r="A707" s="5"/>
      <c r="B707" s="2"/>
      <c r="C707" s="3"/>
      <c r="D707" s="3"/>
      <c r="E707" s="3"/>
      <c r="F707" s="4"/>
    </row>
    <row r="708" spans="1:6" ht="15.75" thickBot="1" x14ac:dyDescent="0.3">
      <c r="A708" s="5"/>
      <c r="B708" s="2"/>
      <c r="C708" s="3"/>
      <c r="D708" s="3"/>
      <c r="E708" s="3"/>
      <c r="F708" s="4"/>
    </row>
    <row r="709" spans="1:6" ht="15.75" thickBot="1" x14ac:dyDescent="0.3">
      <c r="A709" s="5"/>
      <c r="B709" s="2"/>
      <c r="C709" s="3"/>
      <c r="D709" s="3"/>
      <c r="E709" s="3"/>
      <c r="F709" s="4"/>
    </row>
    <row r="710" spans="1:6" ht="15.75" thickBot="1" x14ac:dyDescent="0.3">
      <c r="A710" s="5"/>
      <c r="B710" s="2"/>
      <c r="C710" s="3"/>
      <c r="D710" s="3"/>
      <c r="E710" s="3"/>
      <c r="F710" s="4"/>
    </row>
    <row r="711" spans="1:6" ht="15.75" thickBot="1" x14ac:dyDescent="0.3">
      <c r="A711" s="5"/>
      <c r="B711" s="2"/>
      <c r="C711" s="3"/>
      <c r="D711" s="3"/>
      <c r="E711" s="3"/>
      <c r="F711" s="4"/>
    </row>
    <row r="712" spans="1:6" ht="15.75" thickBot="1" x14ac:dyDescent="0.3">
      <c r="A712" s="5"/>
      <c r="B712" s="2"/>
      <c r="C712" s="3"/>
      <c r="D712" s="3"/>
      <c r="E712" s="3"/>
      <c r="F712" s="4"/>
    </row>
    <row r="713" spans="1:6" ht="15.75" thickBot="1" x14ac:dyDescent="0.3">
      <c r="A713" s="5"/>
      <c r="B713" s="2"/>
      <c r="C713" s="3"/>
      <c r="D713" s="3"/>
      <c r="E713" s="3"/>
      <c r="F713" s="4"/>
    </row>
    <row r="714" spans="1:6" ht="15.75" thickBot="1" x14ac:dyDescent="0.3">
      <c r="A714" s="5"/>
      <c r="B714" s="2"/>
      <c r="C714" s="3"/>
      <c r="D714" s="3"/>
      <c r="E714" s="3"/>
      <c r="F714" s="4"/>
    </row>
    <row r="715" spans="1:6" ht="15.75" thickBot="1" x14ac:dyDescent="0.3">
      <c r="A715" s="5"/>
      <c r="B715" s="2"/>
      <c r="C715" s="3"/>
      <c r="D715" s="3"/>
      <c r="E715" s="3"/>
      <c r="F715" s="4"/>
    </row>
    <row r="716" spans="1:6" ht="15.75" thickBot="1" x14ac:dyDescent="0.3">
      <c r="A716" s="5"/>
      <c r="B716" s="2"/>
      <c r="C716" s="3"/>
      <c r="D716" s="3"/>
      <c r="E716" s="3"/>
      <c r="F716" s="4"/>
    </row>
    <row r="717" spans="1:6" ht="15.75" thickBot="1" x14ac:dyDescent="0.3">
      <c r="A717" s="5"/>
      <c r="B717" s="2"/>
      <c r="C717" s="3"/>
      <c r="D717" s="3"/>
      <c r="E717" s="3"/>
      <c r="F717" s="4"/>
    </row>
    <row r="718" spans="1:6" ht="15.75" thickBot="1" x14ac:dyDescent="0.3">
      <c r="A718" s="5"/>
      <c r="B718" s="2"/>
      <c r="C718" s="3"/>
      <c r="D718" s="3"/>
      <c r="E718" s="3"/>
      <c r="F718" s="4"/>
    </row>
    <row r="719" spans="1:6" ht="15.75" thickBot="1" x14ac:dyDescent="0.3">
      <c r="A719" s="5"/>
      <c r="B719" s="2"/>
      <c r="C719" s="3"/>
      <c r="D719" s="3"/>
      <c r="E719" s="3"/>
      <c r="F719" s="4"/>
    </row>
    <row r="720" spans="1:6" ht="15.75" thickBot="1" x14ac:dyDescent="0.3">
      <c r="A720" s="5"/>
      <c r="B720" s="2"/>
      <c r="C720" s="3"/>
      <c r="D720" s="3"/>
      <c r="E720" s="3"/>
      <c r="F720" s="4"/>
    </row>
    <row r="721" spans="1:6" ht="15.75" thickBot="1" x14ac:dyDescent="0.3">
      <c r="A721" s="5"/>
      <c r="B721" s="2"/>
      <c r="C721" s="3"/>
      <c r="D721" s="3"/>
      <c r="E721" s="3"/>
      <c r="F721" s="4"/>
    </row>
    <row r="722" spans="1:6" ht="15.75" thickBot="1" x14ac:dyDescent="0.3">
      <c r="A722" s="5"/>
      <c r="B722" s="2"/>
      <c r="C722" s="3"/>
      <c r="D722" s="3"/>
      <c r="E722" s="3"/>
      <c r="F722" s="4"/>
    </row>
    <row r="723" spans="1:6" ht="15.75" thickBot="1" x14ac:dyDescent="0.3">
      <c r="A723" s="5"/>
      <c r="B723" s="2"/>
      <c r="C723" s="3"/>
      <c r="D723" s="3"/>
      <c r="E723" s="3"/>
      <c r="F723" s="4"/>
    </row>
    <row r="724" spans="1:6" ht="15.75" thickBot="1" x14ac:dyDescent="0.3">
      <c r="A724" s="5"/>
      <c r="B724" s="2"/>
      <c r="C724" s="3"/>
      <c r="D724" s="3"/>
      <c r="E724" s="3"/>
      <c r="F724" s="4"/>
    </row>
    <row r="725" spans="1:6" ht="15.75" thickBot="1" x14ac:dyDescent="0.3">
      <c r="A725" s="5"/>
      <c r="B725" s="2"/>
      <c r="C725" s="3"/>
      <c r="D725" s="3"/>
      <c r="E725" s="3"/>
      <c r="F725" s="4"/>
    </row>
    <row r="726" spans="1:6" ht="15.75" thickBot="1" x14ac:dyDescent="0.3">
      <c r="A726" s="5"/>
      <c r="B726" s="2"/>
      <c r="C726" s="3"/>
      <c r="D726" s="3"/>
      <c r="E726" s="3"/>
      <c r="F726" s="4"/>
    </row>
    <row r="727" spans="1:6" ht="15.75" thickBot="1" x14ac:dyDescent="0.3">
      <c r="A727" s="5"/>
      <c r="B727" s="2"/>
      <c r="C727" s="3"/>
      <c r="D727" s="3"/>
      <c r="E727" s="3"/>
      <c r="F727" s="4"/>
    </row>
    <row r="728" spans="1:6" ht="15.75" thickBot="1" x14ac:dyDescent="0.3">
      <c r="A728" s="5"/>
      <c r="B728" s="2"/>
      <c r="C728" s="3"/>
      <c r="D728" s="3"/>
      <c r="E728" s="3"/>
      <c r="F728" s="4"/>
    </row>
    <row r="729" spans="1:6" ht="15.75" thickBot="1" x14ac:dyDescent="0.3">
      <c r="A729" s="5"/>
      <c r="B729" s="2"/>
      <c r="C729" s="3"/>
      <c r="D729" s="3"/>
      <c r="E729" s="3"/>
      <c r="F729" s="4"/>
    </row>
    <row r="730" spans="1:6" ht="15.75" thickBot="1" x14ac:dyDescent="0.3">
      <c r="A730" s="5"/>
      <c r="B730" s="2"/>
      <c r="C730" s="3"/>
      <c r="D730" s="3"/>
      <c r="E730" s="3"/>
      <c r="F730" s="4"/>
    </row>
    <row r="731" spans="1:6" ht="15.75" thickBot="1" x14ac:dyDescent="0.3">
      <c r="A731" s="5"/>
      <c r="B731" s="2"/>
      <c r="C731" s="3"/>
      <c r="D731" s="3"/>
      <c r="E731" s="3"/>
      <c r="F731" s="4"/>
    </row>
    <row r="732" spans="1:6" ht="15.75" thickBot="1" x14ac:dyDescent="0.3">
      <c r="A732" s="5"/>
      <c r="B732" s="2"/>
      <c r="C732" s="3"/>
      <c r="D732" s="3"/>
      <c r="E732" s="3"/>
      <c r="F732" s="4"/>
    </row>
    <row r="733" spans="1:6" ht="15.75" thickBot="1" x14ac:dyDescent="0.3">
      <c r="A733" s="5"/>
      <c r="B733" s="2"/>
      <c r="C733" s="3"/>
      <c r="D733" s="3"/>
      <c r="E733" s="3"/>
      <c r="F733" s="4"/>
    </row>
    <row r="734" spans="1:6" ht="15.75" thickBot="1" x14ac:dyDescent="0.3">
      <c r="A734" s="5"/>
      <c r="B734" s="2"/>
      <c r="C734" s="3"/>
      <c r="D734" s="3"/>
      <c r="E734" s="3"/>
      <c r="F734" s="4"/>
    </row>
    <row r="735" spans="1:6" ht="15.75" thickBot="1" x14ac:dyDescent="0.3">
      <c r="A735" s="5"/>
      <c r="B735" s="2"/>
      <c r="C735" s="3"/>
      <c r="D735" s="3"/>
      <c r="E735" s="3"/>
      <c r="F735" s="4"/>
    </row>
    <row r="736" spans="1:6" ht="15.75" thickBot="1" x14ac:dyDescent="0.3">
      <c r="A736" s="5"/>
      <c r="B736" s="2"/>
      <c r="C736" s="3"/>
      <c r="D736" s="3"/>
      <c r="E736" s="3"/>
      <c r="F736" s="4"/>
    </row>
    <row r="737" spans="1:6" ht="15.75" thickBot="1" x14ac:dyDescent="0.3">
      <c r="A737" s="5"/>
      <c r="B737" s="2"/>
      <c r="C737" s="3"/>
      <c r="D737" s="3"/>
      <c r="E737" s="3"/>
      <c r="F737" s="4"/>
    </row>
    <row r="738" spans="1:6" ht="15.75" thickBot="1" x14ac:dyDescent="0.3">
      <c r="A738" s="5"/>
      <c r="B738" s="2"/>
      <c r="C738" s="3"/>
      <c r="D738" s="3"/>
      <c r="E738" s="3"/>
      <c r="F738" s="4"/>
    </row>
    <row r="739" spans="1:6" ht="15.75" thickBot="1" x14ac:dyDescent="0.3">
      <c r="A739" s="5"/>
      <c r="B739" s="2"/>
      <c r="C739" s="3"/>
      <c r="D739" s="3"/>
      <c r="E739" s="3"/>
      <c r="F739" s="4"/>
    </row>
    <row r="740" spans="1:6" ht="15.75" thickBot="1" x14ac:dyDescent="0.3">
      <c r="A740" s="5"/>
      <c r="B740" s="2"/>
      <c r="C740" s="3"/>
      <c r="D740" s="3"/>
      <c r="E740" s="3"/>
      <c r="F740" s="4"/>
    </row>
    <row r="741" spans="1:6" ht="15.75" thickBot="1" x14ac:dyDescent="0.3">
      <c r="A741" s="5"/>
      <c r="B741" s="2"/>
      <c r="C741" s="3"/>
      <c r="D741" s="3"/>
      <c r="E741" s="3"/>
      <c r="F741" s="4"/>
    </row>
    <row r="742" spans="1:6" ht="15.75" thickBot="1" x14ac:dyDescent="0.3">
      <c r="A742" s="5"/>
      <c r="B742" s="2"/>
      <c r="C742" s="3"/>
      <c r="D742" s="3"/>
      <c r="E742" s="3"/>
      <c r="F742" s="4"/>
    </row>
    <row r="743" spans="1:6" ht="15.75" thickBot="1" x14ac:dyDescent="0.3">
      <c r="A743" s="5"/>
      <c r="B743" s="2"/>
      <c r="C743" s="3"/>
      <c r="D743" s="3"/>
      <c r="E743" s="3"/>
      <c r="F743" s="4"/>
    </row>
    <row r="744" spans="1:6" ht="15.75" thickBot="1" x14ac:dyDescent="0.3">
      <c r="A744" s="5"/>
      <c r="B744" s="2"/>
      <c r="C744" s="3"/>
      <c r="D744" s="3"/>
      <c r="E744" s="3"/>
      <c r="F744" s="4"/>
    </row>
    <row r="745" spans="1:6" ht="15.75" thickBot="1" x14ac:dyDescent="0.3">
      <c r="A745" s="5"/>
      <c r="B745" s="2"/>
      <c r="C745" s="3"/>
      <c r="D745" s="3"/>
      <c r="E745" s="3"/>
      <c r="F745" s="4"/>
    </row>
    <row r="746" spans="1:6" ht="15.75" thickBot="1" x14ac:dyDescent="0.3">
      <c r="A746" s="5"/>
      <c r="B746" s="2"/>
      <c r="C746" s="3"/>
      <c r="D746" s="3"/>
      <c r="E746" s="3"/>
      <c r="F746" s="4"/>
    </row>
    <row r="747" spans="1:6" ht="15.75" thickBot="1" x14ac:dyDescent="0.3">
      <c r="A747" s="5"/>
      <c r="B747" s="2"/>
      <c r="C747" s="3"/>
      <c r="D747" s="3"/>
      <c r="E747" s="3"/>
      <c r="F747" s="4"/>
    </row>
    <row r="748" spans="1:6" ht="15.75" thickBot="1" x14ac:dyDescent="0.3">
      <c r="A748" s="5"/>
      <c r="B748" s="2"/>
      <c r="C748" s="3"/>
      <c r="D748" s="3"/>
      <c r="E748" s="3"/>
      <c r="F748" s="4"/>
    </row>
    <row r="749" spans="1:6" ht="15.75" thickBot="1" x14ac:dyDescent="0.3">
      <c r="A749" s="5"/>
      <c r="B749" s="2"/>
      <c r="C749" s="3"/>
      <c r="D749" s="3"/>
      <c r="E749" s="3"/>
      <c r="F749" s="4"/>
    </row>
    <row r="750" spans="1:6" ht="15.75" thickBot="1" x14ac:dyDescent="0.3">
      <c r="A750" s="5"/>
      <c r="B750" s="2"/>
      <c r="C750" s="3"/>
      <c r="D750" s="3"/>
      <c r="E750" s="3"/>
      <c r="F750" s="4"/>
    </row>
    <row r="751" spans="1:6" ht="15.75" thickBot="1" x14ac:dyDescent="0.3">
      <c r="A751" s="5"/>
      <c r="B751" s="2"/>
      <c r="C751" s="3"/>
      <c r="D751" s="3"/>
      <c r="E751" s="3"/>
      <c r="F751" s="4"/>
    </row>
    <row r="752" spans="1:6" ht="15.75" thickBot="1" x14ac:dyDescent="0.3">
      <c r="A752" s="5"/>
      <c r="B752" s="2"/>
      <c r="C752" s="3"/>
      <c r="D752" s="3"/>
      <c r="E752" s="3"/>
      <c r="F752" s="4"/>
    </row>
    <row r="753" spans="1:6" ht="15.75" thickBot="1" x14ac:dyDescent="0.3">
      <c r="A753" s="5"/>
      <c r="B753" s="2"/>
      <c r="C753" s="3"/>
      <c r="D753" s="3"/>
      <c r="E753" s="3"/>
      <c r="F753" s="4"/>
    </row>
    <row r="754" spans="1:6" ht="15.75" thickBot="1" x14ac:dyDescent="0.3">
      <c r="A754" s="5"/>
      <c r="B754" s="2"/>
      <c r="C754" s="3"/>
      <c r="D754" s="3"/>
      <c r="E754" s="3"/>
      <c r="F754" s="4"/>
    </row>
    <row r="755" spans="1:6" ht="15.75" thickBot="1" x14ac:dyDescent="0.3">
      <c r="A755" s="5"/>
      <c r="B755" s="2"/>
      <c r="C755" s="3"/>
      <c r="D755" s="3"/>
      <c r="E755" s="3"/>
      <c r="F755" s="4"/>
    </row>
    <row r="756" spans="1:6" ht="15.75" thickBot="1" x14ac:dyDescent="0.3">
      <c r="A756" s="5"/>
      <c r="B756" s="2"/>
      <c r="C756" s="3"/>
      <c r="D756" s="3"/>
      <c r="E756" s="3"/>
      <c r="F756" s="4"/>
    </row>
    <row r="757" spans="1:6" ht="15.75" thickBot="1" x14ac:dyDescent="0.3">
      <c r="A757" s="5"/>
      <c r="B757" s="2"/>
      <c r="C757" s="3"/>
      <c r="D757" s="3"/>
      <c r="E757" s="3"/>
      <c r="F757" s="4"/>
    </row>
    <row r="758" spans="1:6" ht="15.75" thickBot="1" x14ac:dyDescent="0.3">
      <c r="A758" s="5"/>
      <c r="B758" s="2"/>
      <c r="C758" s="3"/>
      <c r="D758" s="3"/>
      <c r="E758" s="3"/>
      <c r="F758" s="4"/>
    </row>
    <row r="759" spans="1:6" ht="15.75" thickBot="1" x14ac:dyDescent="0.3">
      <c r="A759" s="5"/>
      <c r="B759" s="2"/>
      <c r="C759" s="3"/>
      <c r="D759" s="3"/>
      <c r="E759" s="3"/>
      <c r="F759" s="4"/>
    </row>
  </sheetData>
  <mergeCells count="3">
    <mergeCell ref="B36:C36"/>
    <mergeCell ref="H1:J1"/>
    <mergeCell ref="H2:J2"/>
  </mergeCells>
  <hyperlinks>
    <hyperlink ref="B36" r:id="rId1" xr:uid="{00000000-0004-0000-0000-000000000000}"/>
  </hyperlinks>
  <pageMargins left="0.7" right="0.7" top="0.75" bottom="0.75" header="0.3" footer="0.3"/>
  <pageSetup paperSize="9" orientation="portrait" r:id="rId2"/>
  <headerFooter>
    <oddFooter>&amp;C_x000D_&amp;1#&amp;"Calibri"&amp;10&amp;K000000 Confidential: Ensure justifiable business need before sharing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8DB3-1EDE-484A-8379-D898AD7361B7}">
  <dimension ref="A1:A3"/>
  <sheetViews>
    <sheetView workbookViewId="0">
      <selection activeCell="G29" sqref="G29"/>
    </sheetView>
  </sheetViews>
  <sheetFormatPr defaultRowHeight="15" x14ac:dyDescent="0.25"/>
  <sheetData>
    <row r="1" spans="1:1" x14ac:dyDescent="0.25">
      <c r="A1" t="s">
        <v>160</v>
      </c>
    </row>
    <row r="2" spans="1:1" x14ac:dyDescent="0.25">
      <c r="A2" t="s">
        <v>161</v>
      </c>
    </row>
    <row r="3" spans="1:1" x14ac:dyDescent="0.25">
      <c r="A3" t="s">
        <v>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Rates</vt:lpstr>
      <vt:lpstr>Process Notes</vt:lpstr>
      <vt:lpstr>rng_FX_rates</vt:lpstr>
    </vt:vector>
  </TitlesOfParts>
  <Company>Standard Life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Sarah-louise Tait (The Phoenix Group)</dc:creator>
  <cp:lastModifiedBy>Iwona Muniak</cp:lastModifiedBy>
  <dcterms:created xsi:type="dcterms:W3CDTF">2019-06-03T11:02:01Z</dcterms:created>
  <dcterms:modified xsi:type="dcterms:W3CDTF">2026-01-02T11:01:07Z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MSIP_Label_30f1a062-5ee4-4104-b954-bd3f4cbcdb22_Enabled">
    <vt:lpwstr>true</vt:lpwstr>
  </property>
  <property fmtid="{D5CDD505-2E9C-101B-9397-08002B2CF9AE}" pid="4" name="MSIP_Label_30f1a062-5ee4-4104-b954-bd3f4cbcdb22_SetDate">
    <vt:lpwstr>2024-12-02T10:31:31Z</vt:lpwstr>
  </property>
  <property fmtid="{D5CDD505-2E9C-101B-9397-08002B2CF9AE}" pid="5" name="MSIP_Label_30f1a062-5ee4-4104-b954-bd3f4cbcdb22_Method">
    <vt:lpwstr>Standard</vt:lpwstr>
  </property>
  <property fmtid="{D5CDD505-2E9C-101B-9397-08002B2CF9AE}" pid="6" name="MSIP_Label_30f1a062-5ee4-4104-b954-bd3f4cbcdb22_Name">
    <vt:lpwstr>Confidential</vt:lpwstr>
  </property>
  <property fmtid="{D5CDD505-2E9C-101B-9397-08002B2CF9AE}" pid="7" name="MSIP_Label_30f1a062-5ee4-4104-b954-bd3f4cbcdb22_SiteId">
    <vt:lpwstr>97cbadbc-9c17-46ff-807d-aef9d23c5692</vt:lpwstr>
  </property>
  <property fmtid="{D5CDD505-2E9C-101B-9397-08002B2CF9AE}" pid="8" name="MSIP_Label_30f1a062-5ee4-4104-b954-bd3f4cbcdb22_ActionId">
    <vt:lpwstr>513892e4-5046-40c5-9742-4b85f1aa6845</vt:lpwstr>
  </property>
  <property fmtid="{D5CDD505-2E9C-101B-9397-08002B2CF9AE}" pid="9" name="MSIP_Label_30f1a062-5ee4-4104-b954-bd3f4cbcdb22_ContentBits">
    <vt:lpwstr>2</vt:lpwstr>
  </property>
  <property fmtid="{D5CDD505-2E9C-101B-9397-08002B2CF9AE}" pid="10" name="SV_HIDDEN_GRID_QUERY_LIST_4F35BF76-6C0D-4D9B-82B2-816C12CF3733">
    <vt:lpwstr>empty_477D106A-C0D6-4607-AEBD-E2C9D60EA279</vt:lpwstr>
  </property>
</Properties>
</file>